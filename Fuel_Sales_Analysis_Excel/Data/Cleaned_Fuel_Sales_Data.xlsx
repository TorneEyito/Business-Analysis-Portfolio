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4F18C47E-0E44-4342-A4BD-B3FC3997D26D}" xr6:coauthVersionLast="47" xr6:coauthVersionMax="47" xr10:uidLastSave="{00000000-0000-0000-0000-000000000000}"/>
  <bookViews>
    <workbookView xWindow="-120" yWindow="-120" windowWidth="20730" windowHeight="11040" firstSheet="5" activeTab="5" xr2:uid="{16C61899-F194-4943-9FA9-40965D5FB14E}"/>
  </bookViews>
  <sheets>
    <sheet name="Average Logistics" sheetId="7" state="hidden" r:id="rId1"/>
    <sheet name="Forex Rate" sheetId="6" state="hidden" r:id="rId2"/>
    <sheet name="Average Selling Price" sheetId="5" state="hidden" r:id="rId3"/>
    <sheet name="Average Cost price" sheetId="4" state="hidden" r:id="rId4"/>
    <sheet name="Average Volume" sheetId="3" state="hidden" r:id="rId5"/>
    <sheet name="Cleaned Data" sheetId="2" r:id="rId6"/>
    <sheet name="Pivot Tables" sheetId="8" r:id="rId7"/>
    <sheet name="Helper Calculation" sheetId="13" r:id="rId8"/>
    <sheet name="Sales Performance Dashboard" sheetId="12" r:id="rId9"/>
  </sheets>
  <definedNames>
    <definedName name="ExternalData_1" localSheetId="5" hidden="1">'Cleaned Data'!$A$3:$O$303</definedName>
    <definedName name="ExternalData_2" localSheetId="4" hidden="1">'Average Volume'!$A$1:$C$19</definedName>
    <definedName name="ExternalData_3" localSheetId="3" hidden="1">'Average Cost price'!$A$1:$C$19</definedName>
    <definedName name="ExternalData_4" localSheetId="2" hidden="1">'Average Selling Price'!$A$1:$C$19</definedName>
    <definedName name="ExternalData_5" localSheetId="1" hidden="1">'Forex Rate'!$A$1:$B$7</definedName>
    <definedName name="ExternalData_6" localSheetId="0" hidden="1">'Average Logistics'!$A$1:$B$7</definedName>
    <definedName name="Slicer_Month">#N/A</definedName>
    <definedName name="Slicer_Product">#N/A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2" l="1"/>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AJ4" i="8"/>
  <c r="AK4" i="8"/>
  <c r="B2" i="13"/>
  <c r="B1" i="13"/>
  <c r="AI4" i="8"/>
  <c r="AH4" i="8"/>
  <c r="AG4" i="8"/>
  <c r="B3"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B10AC1-F328-48DE-A636-597808D33FCB}" keepAlive="1" name="Query - Average Cost price" description="Connection to the 'Average Cost price' query in the workbook." type="5" refreshedVersion="8" background="1" saveData="1">
    <dbPr connection="Provider=Microsoft.Mashup.OleDb.1;Data Source=$Workbook$;Location=&quot;Average Cost price&quot;;Extended Properties=&quot;&quot;" command="SELECT * FROM [Average Cost price]"/>
  </connection>
  <connection id="2" xr16:uid="{C5EC9D81-884E-4CCA-8B1B-C3969777481A}" keepAlive="1" name="Query - Average Logistics" description="Connection to the 'Average Logistics' query in the workbook." type="5" refreshedVersion="8" background="1" saveData="1">
    <dbPr connection="Provider=Microsoft.Mashup.OleDb.1;Data Source=$Workbook$;Location=&quot;Average Logistics&quot;;Extended Properties=&quot;&quot;" command="SELECT * FROM [Average Logistics]"/>
  </connection>
  <connection id="3" xr16:uid="{BF12A2BD-6C0C-4E4B-BC53-14CC53527758}" keepAlive="1" name="Query - Average Selling Price" description="Connection to the 'Average Selling Price' query in the workbook." type="5" refreshedVersion="8" background="1" saveData="1">
    <dbPr connection="Provider=Microsoft.Mashup.OleDb.1;Data Source=$Workbook$;Location=&quot;Average Selling Price&quot;;Extended Properties=&quot;&quot;" command="SELECT * FROM [Average Selling Price]"/>
  </connection>
  <connection id="4" xr16:uid="{28C78217-D7D7-4A00-94A2-09C0778AB1A7}" keepAlive="1" name="Query - Average Volume" description="Connection to the 'Average Volume' query in the workbook." type="5" refreshedVersion="8" background="1" saveData="1">
    <dbPr connection="Provider=Microsoft.Mashup.OleDb.1;Data Source=$Workbook$;Location=&quot;Average Volume&quot;;Extended Properties=&quot;&quot;" command="SELECT * FROM [Average Volume]"/>
  </connection>
  <connection id="5" xr16:uid="{B2B19C4D-463A-4289-A59D-5361E862570F}" keepAlive="1" name="Query - Forex Rate" description="Connection to the 'Forex Rate' query in the workbook." type="5" refreshedVersion="8" background="1" saveData="1">
    <dbPr connection="Provider=Microsoft.Mashup.OleDb.1;Data Source=$Workbook$;Location=&quot;Forex Rate&quot;;Extended Properties=&quot;&quot;" command="SELECT * FROM [Forex Rate]"/>
  </connection>
  <connection id="6" xr16:uid="{5DA0578A-E21B-48A0-9F02-45FEA7424110}"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<sst xmlns="http://schemas.openxmlformats.org/spreadsheetml/2006/main" count="1407" uniqueCount="66">
  <si>
    <t>Product</t>
  </si>
  <si>
    <t>Depot</t>
  </si>
  <si>
    <t>Average Volumn</t>
  </si>
  <si>
    <t>DPK</t>
  </si>
  <si>
    <t>Apapa</t>
  </si>
  <si>
    <t>Ibadan</t>
  </si>
  <si>
    <t>AGO</t>
  </si>
  <si>
    <t>Calabar</t>
  </si>
  <si>
    <t>Kano</t>
  </si>
  <si>
    <t>PMS</t>
  </si>
  <si>
    <t>Kaduna</t>
  </si>
  <si>
    <t>Port Harcourt</t>
  </si>
  <si>
    <t>Month Name</t>
  </si>
  <si>
    <t>Cost Price Clean</t>
  </si>
  <si>
    <t>March</t>
  </si>
  <si>
    <t>February</t>
  </si>
  <si>
    <t>April</t>
  </si>
  <si>
    <t>May</t>
  </si>
  <si>
    <t>January</t>
  </si>
  <si>
    <t>June</t>
  </si>
  <si>
    <t>S.Price</t>
  </si>
  <si>
    <t>Clean FX</t>
  </si>
  <si>
    <t>Count logistics</t>
  </si>
  <si>
    <t>Transaction Date</t>
  </si>
  <si>
    <t>Month</t>
  </si>
  <si>
    <t>Region</t>
  </si>
  <si>
    <t>Litres Sold</t>
  </si>
  <si>
    <t>Cost per Litre</t>
  </si>
  <si>
    <t>Selling Price per Litres</t>
  </si>
  <si>
    <t>Forex Rate</t>
  </si>
  <si>
    <t>Logistics</t>
  </si>
  <si>
    <t>Revenue</t>
  </si>
  <si>
    <t>Profit</t>
  </si>
  <si>
    <t>Profit Margin %</t>
  </si>
  <si>
    <t>South-West</t>
  </si>
  <si>
    <t>South-South</t>
  </si>
  <si>
    <t>North</t>
  </si>
  <si>
    <t>Row Labels</t>
  </si>
  <si>
    <t>Grand Total</t>
  </si>
  <si>
    <t>Sum of Revenue</t>
  </si>
  <si>
    <t>Sum of Profit</t>
  </si>
  <si>
    <t>Average of Profit Margin %</t>
  </si>
  <si>
    <t>Jan</t>
  </si>
  <si>
    <t>Feb</t>
  </si>
  <si>
    <t>Mar</t>
  </si>
  <si>
    <t>Apr</t>
  </si>
  <si>
    <t>Jun</t>
  </si>
  <si>
    <t>Revenue and Profit by Product</t>
  </si>
  <si>
    <t>Revenue and Profit by Region</t>
  </si>
  <si>
    <t>Deport Performance</t>
  </si>
  <si>
    <t>Monthly Sales Trend</t>
  </si>
  <si>
    <t>Fuel Sales Data For Jan-June 2025</t>
  </si>
  <si>
    <t>Forex Band</t>
  </si>
  <si>
    <t>1100–1299</t>
  </si>
  <si>
    <t>1300+</t>
  </si>
  <si>
    <t>Impact of Forex Rate on Profit Performance</t>
  </si>
  <si>
    <t>Profit Status</t>
  </si>
  <si>
    <t>Loss</t>
  </si>
  <si>
    <t>Count of Profit Status</t>
  </si>
  <si>
    <t>Profit And Loss Count</t>
  </si>
  <si>
    <t>Total Revenue</t>
  </si>
  <si>
    <t>Total Profit</t>
  </si>
  <si>
    <t>High Forex Driven Profit</t>
  </si>
  <si>
    <t>Avg. Profit Margin</t>
  </si>
  <si>
    <t>Loss  Rate%</t>
  </si>
  <si>
    <t>Average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</si>
</sst>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
    <numFmt numFmtId="165" formatCode="0.0%"/>
  </numFmts>
  <fonts count="3" x14ac:knownFonts="1">
    <font>
      <sz val="11"/>
      <color theme="1"/>
      <name val="Calibri"/>
      <family val="2"/>
      <scheme val="minor"/>
    </font>
    <font>
      <sz val="20"/>
      <color theme="1"/>
      <name val="Calibri"/>
      <family val="2"/>
      <scheme val="minor"/>
    </font>
    <font>
      <sz val="20"/>
      <color theme="0"/>
      <name val="Calibri"/>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theme="9"/>
        <bgColor indexed="64"/>
      </patternFill>
    </fill>
    <fill>
      <patternFill patternType="solid">
        <fgColor theme="4"/>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 fillId="2" borderId="0" xfId="0" applyFont="1" applyFill="1"/>
    <xf numFmtId="0" fontId="2" fillId="3" borderId="0" xfId="0" applyFont="1" applyFill="1"/>
    <xf numFmtId="10" fontId="2" fillId="3" borderId="0" xfId="0" applyNumberFormat="1" applyFont="1" applyFill="1"/>
    <xf numFmtId="0" fontId="0" fillId="5" borderId="0" xfId="0" applyFill="1"/>
    <xf numFmtId="0" fontId="0" fillId="4" borderId="0" xfId="0" applyFill="1"/>
  </cellXfs>
  <cellStyles count="1">
    <cellStyle name="Normal" xfId="0" builtinId="0"/>
  </cellStyles>
  <dxfs count="16">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 Data.xlsx]Pivot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t> Revenue And Profit By Product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Sum of Profit</c:v>
                </c:pt>
              </c:strCache>
            </c:strRef>
          </c:tx>
          <c:spPr>
            <a:solidFill>
              <a:schemeClr val="accent1">
                <a:tint val="65000"/>
              </a:schemeClr>
            </a:solidFill>
            <a:ln>
              <a:noFill/>
            </a:ln>
            <a:effectLst/>
          </c:spPr>
          <c:invertIfNegative val="0"/>
          <c:cat>
            <c:strRef>
              <c:f>'Pivot Tables'!$A$4:$A$7</c:f>
              <c:strCache>
                <c:ptCount val="3"/>
                <c:pt idx="0">
                  <c:v>AGO</c:v>
                </c:pt>
                <c:pt idx="1">
                  <c:v>DPK</c:v>
                </c:pt>
                <c:pt idx="2">
                  <c:v>PMS</c:v>
                </c:pt>
              </c:strCache>
            </c:strRef>
          </c:cat>
          <c:val>
            <c:numRef>
              <c:f>'Pivot Tables'!$B$4:$B$7</c:f>
              <c:numCache>
                <c:formatCode>"₦"#,##0.0</c:formatCode>
                <c:ptCount val="3"/>
                <c:pt idx="0">
                  <c:v>119275926</c:v>
                </c:pt>
                <c:pt idx="1">
                  <c:v>128923844</c:v>
                </c:pt>
                <c:pt idx="2">
                  <c:v>140385122</c:v>
                </c:pt>
              </c:numCache>
            </c:numRef>
          </c:val>
          <c:extLst>
            <c:ext xmlns:c16="http://schemas.microsoft.com/office/drawing/2014/chart" uri="{C3380CC4-5D6E-409C-BE32-E72D297353CC}">
              <c16:uniqueId val="{00000000-C59F-49B8-BC3E-71C3B1139A1C}"/>
            </c:ext>
          </c:extLst>
        </c:ser>
        <c:ser>
          <c:idx val="1"/>
          <c:order val="1"/>
          <c:tx>
            <c:strRef>
              <c:f>'Pivot Tables'!$C$3</c:f>
              <c:strCache>
                <c:ptCount val="1"/>
                <c:pt idx="0">
                  <c:v>Sum of Revenue</c:v>
                </c:pt>
              </c:strCache>
            </c:strRef>
          </c:tx>
          <c:spPr>
            <a:solidFill>
              <a:schemeClr val="accent1"/>
            </a:solidFill>
            <a:ln>
              <a:noFill/>
            </a:ln>
            <a:effectLst/>
          </c:spPr>
          <c:invertIfNegative val="0"/>
          <c:cat>
            <c:strRef>
              <c:f>'Pivot Tables'!$A$4:$A$7</c:f>
              <c:strCache>
                <c:ptCount val="3"/>
                <c:pt idx="0">
                  <c:v>AGO</c:v>
                </c:pt>
                <c:pt idx="1">
                  <c:v>DPK</c:v>
                </c:pt>
                <c:pt idx="2">
                  <c:v>PMS</c:v>
                </c:pt>
              </c:strCache>
            </c:strRef>
          </c:cat>
          <c:val>
            <c:numRef>
              <c:f>'Pivot Tables'!$C$4:$C$7</c:f>
              <c:numCache>
                <c:formatCode>"₦"#,##0.0</c:formatCode>
                <c:ptCount val="3"/>
                <c:pt idx="0">
                  <c:v>1582847896</c:v>
                </c:pt>
                <c:pt idx="1">
                  <c:v>1573464747</c:v>
                </c:pt>
                <c:pt idx="2">
                  <c:v>1529885005</c:v>
                </c:pt>
              </c:numCache>
            </c:numRef>
          </c:val>
          <c:extLst>
            <c:ext xmlns:c16="http://schemas.microsoft.com/office/drawing/2014/chart" uri="{C3380CC4-5D6E-409C-BE32-E72D297353CC}">
              <c16:uniqueId val="{00000001-C59F-49B8-BC3E-71C3B1139A1C}"/>
            </c:ext>
          </c:extLst>
        </c:ser>
        <c:ser>
          <c:idx val="2"/>
          <c:order val="2"/>
          <c:tx>
            <c:strRef>
              <c:f>'Pivot Tables'!$D$3</c:f>
              <c:strCache>
                <c:ptCount val="1"/>
                <c:pt idx="0">
                  <c:v>Average of Profit Margin %</c:v>
                </c:pt>
              </c:strCache>
            </c:strRef>
          </c:tx>
          <c:spPr>
            <a:solidFill>
              <a:schemeClr val="accent1">
                <a:shade val="65000"/>
              </a:schemeClr>
            </a:solidFill>
            <a:ln>
              <a:noFill/>
            </a:ln>
            <a:effectLst/>
          </c:spPr>
          <c:invertIfNegative val="0"/>
          <c:cat>
            <c:strRef>
              <c:f>'Pivot Tables'!$A$4:$A$7</c:f>
              <c:strCache>
                <c:ptCount val="3"/>
                <c:pt idx="0">
                  <c:v>AGO</c:v>
                </c:pt>
                <c:pt idx="1">
                  <c:v>DPK</c:v>
                </c:pt>
                <c:pt idx="2">
                  <c:v>PMS</c:v>
                </c:pt>
              </c:strCache>
            </c:strRef>
          </c:cat>
          <c:val>
            <c:numRef>
              <c:f>'Pivot Tables'!$D$4:$D$7</c:f>
              <c:numCache>
                <c:formatCode>0.0%</c:formatCode>
                <c:ptCount val="3"/>
                <c:pt idx="0">
                  <c:v>4.5654043022338976E-2</c:v>
                </c:pt>
                <c:pt idx="1">
                  <c:v>6.1739157474542734E-2</c:v>
                </c:pt>
                <c:pt idx="2">
                  <c:v>6.9735354961802429E-2</c:v>
                </c:pt>
              </c:numCache>
            </c:numRef>
          </c:val>
          <c:extLst>
            <c:ext xmlns:c16="http://schemas.microsoft.com/office/drawing/2014/chart" uri="{C3380CC4-5D6E-409C-BE32-E72D297353CC}">
              <c16:uniqueId val="{00000002-C59F-49B8-BC3E-71C3B1139A1C}"/>
            </c:ext>
          </c:extLst>
        </c:ser>
        <c:dLbls>
          <c:showLegendKey val="0"/>
          <c:showVal val="0"/>
          <c:showCatName val="0"/>
          <c:showSerName val="0"/>
          <c:showPercent val="0"/>
          <c:showBubbleSize val="0"/>
        </c:dLbls>
        <c:gapWidth val="60"/>
        <c:overlap val="-27"/>
        <c:axId val="1520571263"/>
        <c:axId val="1520573759"/>
      </c:barChart>
      <c:catAx>
        <c:axId val="152057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573759"/>
        <c:crosses val="autoZero"/>
        <c:auto val="1"/>
        <c:lblAlgn val="ctr"/>
        <c:lblOffset val="100"/>
        <c:noMultiLvlLbl val="0"/>
      </c:catAx>
      <c:valAx>
        <c:axId val="1520573759"/>
        <c:scaling>
          <c:orientation val="minMax"/>
        </c:scaling>
        <c:delete val="0"/>
        <c:axPos val="l"/>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57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 Data.xlsx]Pivot Tables!PivotTable2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And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Sum of Revenue</c:v>
                </c:pt>
              </c:strCache>
            </c:strRef>
          </c:tx>
          <c:spPr>
            <a:solidFill>
              <a:schemeClr val="accent1">
                <a:shade val="76000"/>
              </a:schemeClr>
            </a:solidFill>
            <a:ln>
              <a:noFill/>
            </a:ln>
            <a:effectLst/>
          </c:spPr>
          <c:invertIfNegative val="0"/>
          <c:cat>
            <c:strRef>
              <c:f>'Pivot Tables'!$G$4:$G$7</c:f>
              <c:strCache>
                <c:ptCount val="3"/>
                <c:pt idx="0">
                  <c:v>South-South</c:v>
                </c:pt>
                <c:pt idx="1">
                  <c:v>North</c:v>
                </c:pt>
                <c:pt idx="2">
                  <c:v>South-West</c:v>
                </c:pt>
              </c:strCache>
            </c:strRef>
          </c:cat>
          <c:val>
            <c:numRef>
              <c:f>'Pivot Tables'!$H$4:$H$7</c:f>
              <c:numCache>
                <c:formatCode>"₦"#,##0.0</c:formatCode>
                <c:ptCount val="3"/>
                <c:pt idx="0">
                  <c:v>1748512762</c:v>
                </c:pt>
                <c:pt idx="1">
                  <c:v>1563900170</c:v>
                </c:pt>
                <c:pt idx="2">
                  <c:v>1373784716</c:v>
                </c:pt>
              </c:numCache>
            </c:numRef>
          </c:val>
          <c:extLst>
            <c:ext xmlns:c16="http://schemas.microsoft.com/office/drawing/2014/chart" uri="{C3380CC4-5D6E-409C-BE32-E72D297353CC}">
              <c16:uniqueId val="{00000000-E0E2-40E0-A3D1-A628900DE8E6}"/>
            </c:ext>
          </c:extLst>
        </c:ser>
        <c:ser>
          <c:idx val="1"/>
          <c:order val="1"/>
          <c:tx>
            <c:strRef>
              <c:f>'Pivot Tables'!$I$3</c:f>
              <c:strCache>
                <c:ptCount val="1"/>
                <c:pt idx="0">
                  <c:v>Sum of Profit</c:v>
                </c:pt>
              </c:strCache>
            </c:strRef>
          </c:tx>
          <c:spPr>
            <a:solidFill>
              <a:schemeClr val="accent1">
                <a:tint val="77000"/>
              </a:schemeClr>
            </a:solidFill>
            <a:ln>
              <a:noFill/>
            </a:ln>
            <a:effectLst/>
          </c:spPr>
          <c:invertIfNegative val="0"/>
          <c:cat>
            <c:strRef>
              <c:f>'Pivot Tables'!$G$4:$G$7</c:f>
              <c:strCache>
                <c:ptCount val="3"/>
                <c:pt idx="0">
                  <c:v>South-South</c:v>
                </c:pt>
                <c:pt idx="1">
                  <c:v>North</c:v>
                </c:pt>
                <c:pt idx="2">
                  <c:v>South-West</c:v>
                </c:pt>
              </c:strCache>
            </c:strRef>
          </c:cat>
          <c:val>
            <c:numRef>
              <c:f>'Pivot Tables'!$I$4:$I$7</c:f>
              <c:numCache>
                <c:formatCode>"₦"#,##0.0</c:formatCode>
                <c:ptCount val="3"/>
                <c:pt idx="0">
                  <c:v>173275742</c:v>
                </c:pt>
                <c:pt idx="1">
                  <c:v>118306441</c:v>
                </c:pt>
                <c:pt idx="2">
                  <c:v>97002709</c:v>
                </c:pt>
              </c:numCache>
            </c:numRef>
          </c:val>
          <c:extLst>
            <c:ext xmlns:c16="http://schemas.microsoft.com/office/drawing/2014/chart" uri="{C3380CC4-5D6E-409C-BE32-E72D297353CC}">
              <c16:uniqueId val="{00000001-E0E2-40E0-A3D1-A628900DE8E6}"/>
            </c:ext>
          </c:extLst>
        </c:ser>
        <c:dLbls>
          <c:showLegendKey val="0"/>
          <c:showVal val="0"/>
          <c:showCatName val="0"/>
          <c:showSerName val="0"/>
          <c:showPercent val="0"/>
          <c:showBubbleSize val="0"/>
        </c:dLbls>
        <c:gapWidth val="182"/>
        <c:axId val="1143212624"/>
        <c:axId val="1143213456"/>
      </c:barChart>
      <c:catAx>
        <c:axId val="114321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213456"/>
        <c:crosses val="autoZero"/>
        <c:auto val="1"/>
        <c:lblAlgn val="ctr"/>
        <c:lblOffset val="100"/>
        <c:noMultiLvlLbl val="0"/>
      </c:catAx>
      <c:valAx>
        <c:axId val="1143213456"/>
        <c:scaling>
          <c:orientation val="minMax"/>
        </c:scaling>
        <c:delete val="0"/>
        <c:axPos val="b"/>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21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Depot</a:t>
            </a:r>
            <a:r>
              <a:rPr lang="en-US" sz="1600" b="1" baseline="0"/>
              <a:t> Performance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c:f>
              <c:strCache>
                <c:ptCount val="1"/>
                <c:pt idx="0">
                  <c:v>Total</c:v>
                </c:pt>
              </c:strCache>
            </c:strRef>
          </c:tx>
          <c:spPr>
            <a:solidFill>
              <a:schemeClr val="accent1"/>
            </a:solidFill>
            <a:ln>
              <a:noFill/>
            </a:ln>
            <a:effectLst/>
          </c:spPr>
          <c:invertIfNegative val="0"/>
          <c:cat>
            <c:strRef>
              <c:f>'Pivot Tables'!$L$4:$L$10</c:f>
              <c:strCache>
                <c:ptCount val="6"/>
                <c:pt idx="0">
                  <c:v>Apapa</c:v>
                </c:pt>
                <c:pt idx="1">
                  <c:v>Calabar</c:v>
                </c:pt>
                <c:pt idx="2">
                  <c:v>Ibadan</c:v>
                </c:pt>
                <c:pt idx="3">
                  <c:v>Kaduna</c:v>
                </c:pt>
                <c:pt idx="4">
                  <c:v>Kano</c:v>
                </c:pt>
                <c:pt idx="5">
                  <c:v>Port Harcourt</c:v>
                </c:pt>
              </c:strCache>
            </c:strRef>
          </c:cat>
          <c:val>
            <c:numRef>
              <c:f>'Pivot Tables'!$M$4:$M$10</c:f>
              <c:numCache>
                <c:formatCode>"₦"#,##0.0</c:formatCode>
                <c:ptCount val="6"/>
                <c:pt idx="0">
                  <c:v>43928693</c:v>
                </c:pt>
                <c:pt idx="1">
                  <c:v>108182825</c:v>
                </c:pt>
                <c:pt idx="2">
                  <c:v>53074016</c:v>
                </c:pt>
                <c:pt idx="3">
                  <c:v>66796895</c:v>
                </c:pt>
                <c:pt idx="4">
                  <c:v>51509546</c:v>
                </c:pt>
                <c:pt idx="5">
                  <c:v>65092917</c:v>
                </c:pt>
              </c:numCache>
            </c:numRef>
          </c:val>
          <c:extLst>
            <c:ext xmlns:c16="http://schemas.microsoft.com/office/drawing/2014/chart" uri="{C3380CC4-5D6E-409C-BE32-E72D297353CC}">
              <c16:uniqueId val="{00000000-5660-4658-9C2B-B8C609353610}"/>
            </c:ext>
          </c:extLst>
        </c:ser>
        <c:dLbls>
          <c:showLegendKey val="0"/>
          <c:showVal val="0"/>
          <c:showCatName val="0"/>
          <c:showSerName val="0"/>
          <c:showPercent val="0"/>
          <c:showBubbleSize val="0"/>
        </c:dLbls>
        <c:gapWidth val="199"/>
        <c:overlap val="-27"/>
        <c:axId val="1584625344"/>
        <c:axId val="2098581088"/>
      </c:barChart>
      <c:catAx>
        <c:axId val="158462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581088"/>
        <c:crosses val="autoZero"/>
        <c:auto val="1"/>
        <c:lblAlgn val="ctr"/>
        <c:lblOffset val="100"/>
        <c:noMultiLvlLbl val="0"/>
      </c:catAx>
      <c:valAx>
        <c:axId val="2098581088"/>
        <c:scaling>
          <c:orientation val="minMax"/>
        </c:scaling>
        <c:delete val="0"/>
        <c:axPos val="l"/>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62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Monthy</a:t>
            </a:r>
            <a:r>
              <a:rPr lang="en-US" sz="1600" b="1" baseline="0"/>
              <a:t> Revenue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Tables'!$S$3</c:f>
              <c:strCache>
                <c:ptCount val="1"/>
                <c:pt idx="0">
                  <c:v>Total</c:v>
                </c:pt>
              </c:strCache>
            </c:strRef>
          </c:tx>
          <c:spPr>
            <a:solidFill>
              <a:schemeClr val="accent1"/>
            </a:solidFill>
            <a:ln>
              <a:noFill/>
            </a:ln>
            <a:effectLst/>
          </c:spPr>
          <c:invertIfNegative val="0"/>
          <c:cat>
            <c:strRef>
              <c:f>'Pivot Tables'!$R$4:$R$10</c:f>
              <c:strCache>
                <c:ptCount val="6"/>
                <c:pt idx="0">
                  <c:v>Jan</c:v>
                </c:pt>
                <c:pt idx="1">
                  <c:v>Feb</c:v>
                </c:pt>
                <c:pt idx="2">
                  <c:v>Mar</c:v>
                </c:pt>
                <c:pt idx="3">
                  <c:v>Apr</c:v>
                </c:pt>
                <c:pt idx="4">
                  <c:v>May</c:v>
                </c:pt>
                <c:pt idx="5">
                  <c:v>Jun</c:v>
                </c:pt>
              </c:strCache>
            </c:strRef>
          </c:cat>
          <c:val>
            <c:numRef>
              <c:f>'Pivot Tables'!$S$4:$S$10</c:f>
              <c:numCache>
                <c:formatCode>"₦"#,##0.0</c:formatCode>
                <c:ptCount val="6"/>
                <c:pt idx="0">
                  <c:v>20373686</c:v>
                </c:pt>
                <c:pt idx="1">
                  <c:v>86212681</c:v>
                </c:pt>
                <c:pt idx="2">
                  <c:v>72475123</c:v>
                </c:pt>
                <c:pt idx="3">
                  <c:v>99203907</c:v>
                </c:pt>
                <c:pt idx="4">
                  <c:v>49408446</c:v>
                </c:pt>
                <c:pt idx="5">
                  <c:v>60911049</c:v>
                </c:pt>
              </c:numCache>
            </c:numRef>
          </c:val>
          <c:extLst>
            <c:ext xmlns:c16="http://schemas.microsoft.com/office/drawing/2014/chart" uri="{C3380CC4-5D6E-409C-BE32-E72D297353CC}">
              <c16:uniqueId val="{00000000-EA8A-4F33-AB4F-A551AFC1DC9C}"/>
            </c:ext>
          </c:extLst>
        </c:ser>
        <c:dLbls>
          <c:showLegendKey val="0"/>
          <c:showVal val="0"/>
          <c:showCatName val="0"/>
          <c:showSerName val="0"/>
          <c:showPercent val="0"/>
          <c:showBubbleSize val="0"/>
        </c:dLbls>
        <c:gapWidth val="219"/>
        <c:overlap val="-27"/>
        <c:axId val="1879121440"/>
        <c:axId val="1879121856"/>
      </c:barChart>
      <c:catAx>
        <c:axId val="187912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121856"/>
        <c:crosses val="autoZero"/>
        <c:auto val="1"/>
        <c:lblAlgn val="ctr"/>
        <c:lblOffset val="100"/>
        <c:noMultiLvlLbl val="0"/>
      </c:catAx>
      <c:valAx>
        <c:axId val="1879121856"/>
        <c:scaling>
          <c:orientation val="minMax"/>
        </c:scaling>
        <c:delete val="0"/>
        <c:axPos val="l"/>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12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t>Profit By Forex Rate Band</a:t>
            </a:r>
            <a:endParaRPr lang="en-US" sz="1600" b="1"/>
          </a:p>
        </c:rich>
      </c:tx>
      <c:layout>
        <c:manualLayout>
          <c:xMode val="edge"/>
          <c:yMode val="edge"/>
          <c:x val="0.22374082639904988"/>
          <c:y val="2.84624361476140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4868328343368"/>
          <c:y val="4.8328882717183323E-2"/>
          <c:w val="0.83706272980510865"/>
          <c:h val="0.84974872094515663"/>
        </c:manualLayout>
      </c:layout>
      <c:barChart>
        <c:barDir val="col"/>
        <c:grouping val="clustered"/>
        <c:varyColors val="0"/>
        <c:ser>
          <c:idx val="0"/>
          <c:order val="0"/>
          <c:tx>
            <c:strRef>
              <c:f>'Pivot Tables'!$X$3</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Tables'!$W$4:$W$6</c:f>
              <c:strCache>
                <c:ptCount val="2"/>
                <c:pt idx="0">
                  <c:v>1100–1299</c:v>
                </c:pt>
                <c:pt idx="1">
                  <c:v>1300+</c:v>
                </c:pt>
              </c:strCache>
            </c:strRef>
          </c:cat>
          <c:val>
            <c:numRef>
              <c:f>'Pivot Tables'!$X$4:$X$6</c:f>
              <c:numCache>
                <c:formatCode>"₦"#,##0.0</c:formatCode>
                <c:ptCount val="2"/>
                <c:pt idx="0">
                  <c:v>41768043</c:v>
                </c:pt>
                <c:pt idx="1">
                  <c:v>346816849</c:v>
                </c:pt>
              </c:numCache>
            </c:numRef>
          </c:val>
          <c:extLst>
            <c:ext xmlns:c16="http://schemas.microsoft.com/office/drawing/2014/chart" uri="{C3380CC4-5D6E-409C-BE32-E72D297353CC}">
              <c16:uniqueId val="{00000000-6D4D-4C86-A340-3D2897FD8DCA}"/>
            </c:ext>
          </c:extLst>
        </c:ser>
        <c:dLbls>
          <c:showLegendKey val="0"/>
          <c:showVal val="0"/>
          <c:showCatName val="0"/>
          <c:showSerName val="0"/>
          <c:showPercent val="0"/>
          <c:showBubbleSize val="0"/>
        </c:dLbls>
        <c:gapWidth val="219"/>
        <c:overlap val="-27"/>
        <c:axId val="1582743648"/>
        <c:axId val="1582749472"/>
      </c:barChart>
      <c:lineChart>
        <c:grouping val="standard"/>
        <c:varyColors val="0"/>
        <c:ser>
          <c:idx val="1"/>
          <c:order val="1"/>
          <c:tx>
            <c:strRef>
              <c:f>'Pivot Tables'!$Y$3</c:f>
              <c:strCache>
                <c:ptCount val="1"/>
                <c:pt idx="0">
                  <c:v>Average of Profit Margin %</c:v>
                </c:pt>
              </c:strCache>
            </c:strRef>
          </c:tx>
          <c:spPr>
            <a:ln w="28575" cap="rnd">
              <a:solidFill>
                <a:schemeClr val="accent2"/>
              </a:solidFill>
              <a:round/>
            </a:ln>
            <a:effectLst/>
          </c:spPr>
          <c:marker>
            <c:symbol val="none"/>
          </c:marker>
          <c:cat>
            <c:strRef>
              <c:f>'Pivot Tables'!$W$4:$W$6</c:f>
              <c:strCache>
                <c:ptCount val="2"/>
                <c:pt idx="0">
                  <c:v>1100–1299</c:v>
                </c:pt>
                <c:pt idx="1">
                  <c:v>1300+</c:v>
                </c:pt>
              </c:strCache>
            </c:strRef>
          </c:cat>
          <c:val>
            <c:numRef>
              <c:f>'Pivot Tables'!$Y$4:$Y$6</c:f>
              <c:numCache>
                <c:formatCode>0.0%</c:formatCode>
                <c:ptCount val="2"/>
                <c:pt idx="0">
                  <c:v>2.5682795821365356E-2</c:v>
                </c:pt>
                <c:pt idx="1">
                  <c:v>6.4641876282974589E-2</c:v>
                </c:pt>
              </c:numCache>
            </c:numRef>
          </c:val>
          <c:smooth val="0"/>
          <c:extLst>
            <c:ext xmlns:c16="http://schemas.microsoft.com/office/drawing/2014/chart" uri="{C3380CC4-5D6E-409C-BE32-E72D297353CC}">
              <c16:uniqueId val="{00000001-6D4D-4C86-A340-3D2897FD8DCA}"/>
            </c:ext>
          </c:extLst>
        </c:ser>
        <c:dLbls>
          <c:showLegendKey val="0"/>
          <c:showVal val="0"/>
          <c:showCatName val="0"/>
          <c:showSerName val="0"/>
          <c:showPercent val="0"/>
          <c:showBubbleSize val="0"/>
        </c:dLbls>
        <c:marker val="1"/>
        <c:smooth val="0"/>
        <c:axId val="1582743648"/>
        <c:axId val="1582749472"/>
      </c:lineChart>
      <c:catAx>
        <c:axId val="158274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749472"/>
        <c:crosses val="autoZero"/>
        <c:auto val="1"/>
        <c:lblAlgn val="ctr"/>
        <c:lblOffset val="100"/>
        <c:noMultiLvlLbl val="0"/>
      </c:catAx>
      <c:valAx>
        <c:axId val="1582749472"/>
        <c:scaling>
          <c:orientation val="minMax"/>
        </c:scaling>
        <c:delete val="1"/>
        <c:axPos val="l"/>
        <c:numFmt formatCode="&quot;₦&quot;#,##0.0" sourceLinked="1"/>
        <c:majorTickMark val="none"/>
        <c:minorTickMark val="none"/>
        <c:tickLblPos val="nextTo"/>
        <c:crossAx val="158274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0</xdr:rowOff>
    </xdr:from>
    <xdr:to>
      <xdr:col>0</xdr:col>
      <xdr:colOff>2400300</xdr:colOff>
      <xdr:row>71</xdr:row>
      <xdr:rowOff>22678</xdr:rowOff>
    </xdr:to>
    <xdr:sp macro="" textlink="">
      <xdr:nvSpPr>
        <xdr:cNvPr id="2" name="Rectangle 1">
          <a:extLst>
            <a:ext uri="{FF2B5EF4-FFF2-40B4-BE49-F238E27FC236}">
              <a16:creationId xmlns:a16="http://schemas.microsoft.com/office/drawing/2014/main" id="{89814148-8056-8785-E56A-E3C8F2A85502}"/>
            </a:ext>
          </a:extLst>
        </xdr:cNvPr>
        <xdr:cNvSpPr/>
      </xdr:nvSpPr>
      <xdr:spPr>
        <a:xfrm>
          <a:off x="28575" y="0"/>
          <a:ext cx="2371725" cy="13709196"/>
        </a:xfrm>
        <a:prstGeom prst="rect">
          <a:avLst/>
        </a:prstGeom>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2413368</xdr:colOff>
      <xdr:row>0</xdr:row>
      <xdr:rowOff>11339</xdr:rowOff>
    </xdr:from>
    <xdr:to>
      <xdr:col>17</xdr:col>
      <xdr:colOff>527418</xdr:colOff>
      <xdr:row>71</xdr:row>
      <xdr:rowOff>11339</xdr:rowOff>
    </xdr:to>
    <xdr:sp macro="" textlink="">
      <xdr:nvSpPr>
        <xdr:cNvPr id="4" name="Rectangle 3">
          <a:extLst>
            <a:ext uri="{FF2B5EF4-FFF2-40B4-BE49-F238E27FC236}">
              <a16:creationId xmlns:a16="http://schemas.microsoft.com/office/drawing/2014/main" id="{FB1FEE96-D7E1-8988-333A-13CCB60EE8D8}"/>
            </a:ext>
          </a:extLst>
        </xdr:cNvPr>
        <xdr:cNvSpPr/>
      </xdr:nvSpPr>
      <xdr:spPr>
        <a:xfrm>
          <a:off x="2413368" y="11339"/>
          <a:ext cx="10337800" cy="13686518"/>
        </a:xfrm>
        <a:prstGeom prst="rect">
          <a:avLst/>
        </a:prstGeom>
        <a:no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193261</xdr:colOff>
      <xdr:row>2</xdr:row>
      <xdr:rowOff>178667</xdr:rowOff>
    </xdr:from>
    <xdr:to>
      <xdr:col>0</xdr:col>
      <xdr:colOff>2126837</xdr:colOff>
      <xdr:row>5</xdr:row>
      <xdr:rowOff>42340</xdr:rowOff>
    </xdr:to>
    <xdr:sp macro="" textlink="'Pivot Tables'!AG4">
      <xdr:nvSpPr>
        <xdr:cNvPr id="6" name="TextBox 5">
          <a:extLst>
            <a:ext uri="{FF2B5EF4-FFF2-40B4-BE49-F238E27FC236}">
              <a16:creationId xmlns:a16="http://schemas.microsoft.com/office/drawing/2014/main" id="{DDD965D7-60AA-4860-2FBF-D0073D8B0E14}"/>
            </a:ext>
          </a:extLst>
        </xdr:cNvPr>
        <xdr:cNvSpPr txBox="1"/>
      </xdr:nvSpPr>
      <xdr:spPr>
        <a:xfrm>
          <a:off x="193261" y="565620"/>
          <a:ext cx="1933576" cy="44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175D59-C0AC-49DB-9CD6-63BEC7673973}" type="TxLink">
            <a:rPr lang="en-US" sz="1800" b="1" i="0" u="none" strike="noStrike">
              <a:gradFill>
                <a:gsLst>
                  <a:gs pos="5000">
                    <a:schemeClr val="bg1">
                      <a:lumMod val="65000"/>
                    </a:schemeClr>
                  </a:gs>
                  <a:gs pos="67000">
                    <a:schemeClr val="bg1"/>
                  </a:gs>
                </a:gsLst>
                <a:lin ang="5400000" scaled="1"/>
              </a:gradFill>
              <a:effectLst>
                <a:outerShdw blurRad="50800" dist="38100" dir="5400000" algn="t" rotWithShape="0">
                  <a:prstClr val="black">
                    <a:alpha val="40000"/>
                  </a:prstClr>
                </a:outerShdw>
              </a:effectLst>
              <a:latin typeface="Calibri"/>
              <a:ea typeface="Calibri"/>
              <a:cs typeface="Calibri"/>
            </a:rPr>
            <a:pPr/>
            <a:t>₦4,686,197,648.0</a:t>
          </a:fld>
          <a:endParaRPr lang="en-US" sz="1800" b="1">
            <a:gradFill>
              <a:gsLst>
                <a:gs pos="5000">
                  <a:schemeClr val="bg1">
                    <a:lumMod val="65000"/>
                  </a:schemeClr>
                </a:gs>
                <a:gs pos="67000">
                  <a:schemeClr val="bg1"/>
                </a:gs>
              </a:gsLst>
              <a:lin ang="5400000" scaled="1"/>
            </a:gradFill>
            <a:effectLst>
              <a:outerShdw blurRad="50800" dist="38100" dir="5400000" algn="t" rotWithShape="0">
                <a:prstClr val="black">
                  <a:alpha val="40000"/>
                </a:prstClr>
              </a:outerShdw>
            </a:effectLst>
          </a:endParaRPr>
        </a:p>
      </xdr:txBody>
    </xdr:sp>
    <xdr:clientData/>
  </xdr:twoCellAnchor>
  <xdr:twoCellAnchor>
    <xdr:from>
      <xdr:col>0</xdr:col>
      <xdr:colOff>193261</xdr:colOff>
      <xdr:row>7</xdr:row>
      <xdr:rowOff>182272</xdr:rowOff>
    </xdr:from>
    <xdr:to>
      <xdr:col>0</xdr:col>
      <xdr:colOff>2126837</xdr:colOff>
      <xdr:row>10</xdr:row>
      <xdr:rowOff>51137</xdr:rowOff>
    </xdr:to>
    <xdr:sp macro="" textlink="'Pivot Tables'!AH4">
      <xdr:nvSpPr>
        <xdr:cNvPr id="7" name="TextBox 6">
          <a:extLst>
            <a:ext uri="{FF2B5EF4-FFF2-40B4-BE49-F238E27FC236}">
              <a16:creationId xmlns:a16="http://schemas.microsoft.com/office/drawing/2014/main" id="{7331546D-5F52-0455-1FF4-05EC6A3CC56E}"/>
            </a:ext>
          </a:extLst>
        </xdr:cNvPr>
        <xdr:cNvSpPr txBox="1"/>
      </xdr:nvSpPr>
      <xdr:spPr>
        <a:xfrm>
          <a:off x="193261" y="1536608"/>
          <a:ext cx="1933576" cy="449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7864E2-02FE-406D-89A0-8E355ABA7C0C}" type="TxLink">
            <a:rPr lang="en-US" sz="1800" b="1" i="0" u="none" strike="noStrike">
              <a:gradFill>
                <a:gsLst>
                  <a:gs pos="5000">
                    <a:schemeClr val="bg1">
                      <a:lumMod val="65000"/>
                    </a:schemeClr>
                  </a:gs>
                  <a:gs pos="67000">
                    <a:schemeClr val="bg1"/>
                  </a:gs>
                </a:gsLst>
                <a:lin ang="5400000" scaled="1"/>
              </a:gradFill>
              <a:effectLst>
                <a:outerShdw blurRad="50800" dist="38100" dir="5400000" algn="t" rotWithShape="0">
                  <a:prstClr val="black">
                    <a:alpha val="40000"/>
                  </a:prstClr>
                </a:outerShdw>
              </a:effectLst>
              <a:latin typeface="Calibri"/>
              <a:ea typeface="Calibri"/>
              <a:cs typeface="Calibri"/>
            </a:rPr>
            <a:pPr marL="0" indent="0"/>
            <a:t>₦388,584,892.0</a:t>
          </a:fld>
          <a:endParaRPr lang="en-US" sz="1800" b="1" i="0" u="none" strike="noStrike">
            <a:gradFill>
              <a:gsLst>
                <a:gs pos="5000">
                  <a:schemeClr val="bg1">
                    <a:lumMod val="65000"/>
                  </a:schemeClr>
                </a:gs>
                <a:gs pos="67000">
                  <a:schemeClr val="bg1"/>
                </a:gs>
              </a:gsLst>
              <a:lin ang="5400000" scaled="1"/>
            </a:gradFill>
            <a:effectLst>
              <a:outerShdw blurRad="50800" dist="38100" dir="5400000" algn="t" rotWithShape="0">
                <a:prstClr val="black">
                  <a:alpha val="40000"/>
                </a:prstClr>
              </a:outerShdw>
            </a:effectLst>
            <a:latin typeface="Calibri"/>
            <a:ea typeface="Calibri"/>
            <a:cs typeface="Calibri"/>
          </a:endParaRPr>
        </a:p>
      </xdr:txBody>
    </xdr:sp>
    <xdr:clientData/>
  </xdr:twoCellAnchor>
  <xdr:twoCellAnchor>
    <xdr:from>
      <xdr:col>0</xdr:col>
      <xdr:colOff>193261</xdr:colOff>
      <xdr:row>12</xdr:row>
      <xdr:rowOff>191067</xdr:rowOff>
    </xdr:from>
    <xdr:to>
      <xdr:col>0</xdr:col>
      <xdr:colOff>2126837</xdr:colOff>
      <xdr:row>15</xdr:row>
      <xdr:rowOff>52527</xdr:rowOff>
    </xdr:to>
    <xdr:sp macro="" textlink="'Helper Calculation'!B3">
      <xdr:nvSpPr>
        <xdr:cNvPr id="8" name="TextBox 7">
          <a:extLst>
            <a:ext uri="{FF2B5EF4-FFF2-40B4-BE49-F238E27FC236}">
              <a16:creationId xmlns:a16="http://schemas.microsoft.com/office/drawing/2014/main" id="{42572551-B3C9-5D03-6E0C-C42C593A9E4B}"/>
            </a:ext>
          </a:extLst>
        </xdr:cNvPr>
        <xdr:cNvSpPr txBox="1"/>
      </xdr:nvSpPr>
      <xdr:spPr>
        <a:xfrm>
          <a:off x="193261" y="2512786"/>
          <a:ext cx="1933576" cy="441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7AADF3A-A18F-4AC2-B740-C6D87F5CC68E}" type="TxLink">
            <a:rPr lang="en-US" sz="1800" b="1" i="0" u="none" strike="noStrike">
              <a:gradFill>
                <a:gsLst>
                  <a:gs pos="5000">
                    <a:schemeClr val="bg1">
                      <a:lumMod val="65000"/>
                    </a:schemeClr>
                  </a:gs>
                  <a:gs pos="67000">
                    <a:schemeClr val="bg1"/>
                  </a:gs>
                </a:gsLst>
                <a:lin ang="5400000" scaled="1"/>
              </a:gradFill>
              <a:effectLst>
                <a:outerShdw blurRad="50800" dist="38100" dir="5400000" algn="t" rotWithShape="0">
                  <a:prstClr val="black">
                    <a:alpha val="40000"/>
                  </a:prstClr>
                </a:outerShdw>
              </a:effectLst>
              <a:latin typeface="Calibri"/>
              <a:ea typeface="Calibri"/>
              <a:cs typeface="Calibri"/>
            </a:rPr>
            <a:pPr marL="0" indent="0"/>
            <a:t>8.3%</a:t>
          </a:fld>
          <a:endParaRPr lang="en-US" sz="1800" b="1" i="0" u="none" strike="noStrike">
            <a:gradFill>
              <a:gsLst>
                <a:gs pos="5000">
                  <a:schemeClr val="bg1">
                    <a:lumMod val="65000"/>
                  </a:schemeClr>
                </a:gs>
                <a:gs pos="67000">
                  <a:schemeClr val="bg1"/>
                </a:gs>
              </a:gsLst>
              <a:lin ang="5400000" scaled="1"/>
            </a:gradFill>
            <a:effectLst>
              <a:outerShdw blurRad="50800" dist="38100" dir="5400000" algn="t" rotWithShape="0">
                <a:prstClr val="black">
                  <a:alpha val="40000"/>
                </a:prstClr>
              </a:outerShdw>
            </a:effectLst>
            <a:latin typeface="Calibri"/>
            <a:ea typeface="Calibri"/>
            <a:cs typeface="Calibri"/>
          </a:endParaRPr>
        </a:p>
      </xdr:txBody>
    </xdr:sp>
    <xdr:clientData/>
  </xdr:twoCellAnchor>
  <xdr:twoCellAnchor>
    <xdr:from>
      <xdr:col>0</xdr:col>
      <xdr:colOff>193261</xdr:colOff>
      <xdr:row>18</xdr:row>
      <xdr:rowOff>43284</xdr:rowOff>
    </xdr:from>
    <xdr:to>
      <xdr:col>0</xdr:col>
      <xdr:colOff>2126837</xdr:colOff>
      <xdr:row>20</xdr:row>
      <xdr:rowOff>105626</xdr:rowOff>
    </xdr:to>
    <xdr:sp macro="" textlink="'Pivot Tables'!AJ4">
      <xdr:nvSpPr>
        <xdr:cNvPr id="9" name="TextBox 8">
          <a:extLst>
            <a:ext uri="{FF2B5EF4-FFF2-40B4-BE49-F238E27FC236}">
              <a16:creationId xmlns:a16="http://schemas.microsoft.com/office/drawing/2014/main" id="{5E9EBF66-030F-0B5B-75A9-48A5773E52FC}"/>
            </a:ext>
          </a:extLst>
        </xdr:cNvPr>
        <xdr:cNvSpPr txBox="1"/>
      </xdr:nvSpPr>
      <xdr:spPr>
        <a:xfrm>
          <a:off x="193261" y="3525862"/>
          <a:ext cx="1933576" cy="449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C44270-C6C3-4307-8FF2-0E0C7A232D0A}" type="TxLink">
            <a:rPr lang="en-US" sz="1800" b="1" i="0" u="none" strike="noStrike">
              <a:gradFill>
                <a:gsLst>
                  <a:gs pos="5000">
                    <a:schemeClr val="bg1">
                      <a:lumMod val="65000"/>
                    </a:schemeClr>
                  </a:gs>
                  <a:gs pos="67000">
                    <a:schemeClr val="bg1"/>
                  </a:gs>
                </a:gsLst>
                <a:lin ang="5400000" scaled="1"/>
              </a:gradFill>
              <a:effectLst>
                <a:outerShdw blurRad="50800" dist="38100" dir="5400000" algn="t" rotWithShape="0">
                  <a:prstClr val="black">
                    <a:alpha val="40000"/>
                  </a:prstClr>
                </a:outerShdw>
              </a:effectLst>
              <a:latin typeface="Calibri"/>
              <a:ea typeface="Calibri"/>
              <a:cs typeface="Calibri"/>
            </a:rPr>
            <a:pPr marL="0" indent="0"/>
            <a:t>27.0%</a:t>
          </a:fld>
          <a:endParaRPr lang="en-US" sz="1800" b="1" i="0" u="none" strike="noStrike">
            <a:gradFill>
              <a:gsLst>
                <a:gs pos="5000">
                  <a:schemeClr val="bg1">
                    <a:lumMod val="65000"/>
                  </a:schemeClr>
                </a:gs>
                <a:gs pos="67000">
                  <a:schemeClr val="bg1"/>
                </a:gs>
              </a:gsLst>
              <a:lin ang="5400000" scaled="1"/>
            </a:gradFill>
            <a:effectLst>
              <a:outerShdw blurRad="50800" dist="38100" dir="5400000" algn="t" rotWithShape="0">
                <a:prstClr val="black">
                  <a:alpha val="40000"/>
                </a:prstClr>
              </a:outerShdw>
            </a:effectLst>
            <a:latin typeface="Calibri"/>
            <a:ea typeface="Calibri"/>
            <a:cs typeface="Calibri"/>
          </a:endParaRPr>
        </a:p>
      </xdr:txBody>
    </xdr:sp>
    <xdr:clientData/>
  </xdr:twoCellAnchor>
  <xdr:twoCellAnchor>
    <xdr:from>
      <xdr:col>0</xdr:col>
      <xdr:colOff>193261</xdr:colOff>
      <xdr:row>23</xdr:row>
      <xdr:rowOff>110026</xdr:rowOff>
    </xdr:from>
    <xdr:to>
      <xdr:col>0</xdr:col>
      <xdr:colOff>2126837</xdr:colOff>
      <xdr:row>25</xdr:row>
      <xdr:rowOff>172370</xdr:rowOff>
    </xdr:to>
    <xdr:sp macro="" textlink="'Pivot Tables'!AK4">
      <xdr:nvSpPr>
        <xdr:cNvPr id="10" name="TextBox 9">
          <a:extLst>
            <a:ext uri="{FF2B5EF4-FFF2-40B4-BE49-F238E27FC236}">
              <a16:creationId xmlns:a16="http://schemas.microsoft.com/office/drawing/2014/main" id="{2A28DEF0-1374-F700-0F69-33387AC64BED}"/>
            </a:ext>
          </a:extLst>
        </xdr:cNvPr>
        <xdr:cNvSpPr txBox="1"/>
      </xdr:nvSpPr>
      <xdr:spPr>
        <a:xfrm>
          <a:off x="193261" y="4559987"/>
          <a:ext cx="1933576" cy="449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8901CE-F061-4F76-8421-A0C8588EF8A2}" type="TxLink">
            <a:rPr lang="en-US" sz="1800" b="1" i="0" u="none" strike="noStrike">
              <a:gradFill>
                <a:gsLst>
                  <a:gs pos="5000">
                    <a:schemeClr val="bg1">
                      <a:lumMod val="65000"/>
                    </a:schemeClr>
                  </a:gs>
                  <a:gs pos="67000">
                    <a:schemeClr val="bg1"/>
                  </a:gs>
                </a:gsLst>
                <a:lin ang="5400000" scaled="1"/>
              </a:gradFill>
              <a:effectLst>
                <a:outerShdw blurRad="50800" dist="38100" dir="5400000" algn="t" rotWithShape="0">
                  <a:prstClr val="black">
                    <a:alpha val="40000"/>
                  </a:prstClr>
                </a:outerShdw>
              </a:effectLst>
              <a:latin typeface="Calibri"/>
              <a:ea typeface="Calibri"/>
              <a:cs typeface="Calibri"/>
            </a:rPr>
            <a:pPr marL="0" indent="0"/>
            <a:t>89.3%</a:t>
          </a:fld>
          <a:endParaRPr lang="en-US" sz="1800" b="1" i="0" u="none" strike="noStrike">
            <a:gradFill>
              <a:gsLst>
                <a:gs pos="5000">
                  <a:schemeClr val="bg1">
                    <a:lumMod val="65000"/>
                  </a:schemeClr>
                </a:gs>
                <a:gs pos="67000">
                  <a:schemeClr val="bg1"/>
                </a:gs>
              </a:gsLst>
              <a:lin ang="5400000" scaled="1"/>
            </a:gradFill>
            <a:effectLst>
              <a:outerShdw blurRad="50800" dist="38100" dir="5400000" algn="t" rotWithShape="0">
                <a:prstClr val="black">
                  <a:alpha val="40000"/>
                </a:prstClr>
              </a:outerShdw>
            </a:effectLst>
            <a:latin typeface="Calibri"/>
            <a:ea typeface="Calibri"/>
            <a:cs typeface="Calibri"/>
          </a:endParaRPr>
        </a:p>
      </xdr:txBody>
    </xdr:sp>
    <xdr:clientData/>
  </xdr:twoCellAnchor>
  <xdr:twoCellAnchor>
    <xdr:from>
      <xdr:col>0</xdr:col>
      <xdr:colOff>193261</xdr:colOff>
      <xdr:row>0</xdr:row>
      <xdr:rowOff>151848</xdr:rowOff>
    </xdr:from>
    <xdr:to>
      <xdr:col>0</xdr:col>
      <xdr:colOff>2122237</xdr:colOff>
      <xdr:row>2</xdr:row>
      <xdr:rowOff>150394</xdr:rowOff>
    </xdr:to>
    <xdr:sp macro="" textlink="">
      <xdr:nvSpPr>
        <xdr:cNvPr id="11" name="TextBox 10">
          <a:extLst>
            <a:ext uri="{FF2B5EF4-FFF2-40B4-BE49-F238E27FC236}">
              <a16:creationId xmlns:a16="http://schemas.microsoft.com/office/drawing/2014/main" id="{E1F539F7-1CD7-466F-E040-AB2D607F2BAF}"/>
            </a:ext>
          </a:extLst>
        </xdr:cNvPr>
        <xdr:cNvSpPr txBox="1"/>
      </xdr:nvSpPr>
      <xdr:spPr>
        <a:xfrm>
          <a:off x="193261" y="151848"/>
          <a:ext cx="1928976" cy="36617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1"/>
              </a:solidFill>
            </a:rPr>
            <a:t>Total Revenue</a:t>
          </a:r>
        </a:p>
      </xdr:txBody>
    </xdr:sp>
    <xdr:clientData/>
  </xdr:twoCellAnchor>
  <xdr:twoCellAnchor>
    <xdr:from>
      <xdr:col>0</xdr:col>
      <xdr:colOff>193261</xdr:colOff>
      <xdr:row>6</xdr:row>
      <xdr:rowOff>10030</xdr:rowOff>
    </xdr:from>
    <xdr:to>
      <xdr:col>0</xdr:col>
      <xdr:colOff>1588785</xdr:colOff>
      <xdr:row>7</xdr:row>
      <xdr:rowOff>133684</xdr:rowOff>
    </xdr:to>
    <xdr:sp macro="" textlink="">
      <xdr:nvSpPr>
        <xdr:cNvPr id="12" name="TextBox 11">
          <a:extLst>
            <a:ext uri="{FF2B5EF4-FFF2-40B4-BE49-F238E27FC236}">
              <a16:creationId xmlns:a16="http://schemas.microsoft.com/office/drawing/2014/main" id="{136EAF77-9C70-A070-F71C-2A8BE62D11A5}"/>
            </a:ext>
          </a:extLst>
        </xdr:cNvPr>
        <xdr:cNvSpPr txBox="1"/>
      </xdr:nvSpPr>
      <xdr:spPr>
        <a:xfrm>
          <a:off x="193261" y="1112925"/>
          <a:ext cx="1395524" cy="30747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 Profit</a:t>
          </a:r>
        </a:p>
      </xdr:txBody>
    </xdr:sp>
    <xdr:clientData/>
  </xdr:twoCellAnchor>
  <xdr:twoCellAnchor>
    <xdr:from>
      <xdr:col>0</xdr:col>
      <xdr:colOff>193261</xdr:colOff>
      <xdr:row>11</xdr:row>
      <xdr:rowOff>18827</xdr:rowOff>
    </xdr:from>
    <xdr:to>
      <xdr:col>0</xdr:col>
      <xdr:colOff>1777069</xdr:colOff>
      <xdr:row>13</xdr:row>
      <xdr:rowOff>66842</xdr:rowOff>
    </xdr:to>
    <xdr:sp macro="" textlink="">
      <xdr:nvSpPr>
        <xdr:cNvPr id="13" name="TextBox 12">
          <a:extLst>
            <a:ext uri="{FF2B5EF4-FFF2-40B4-BE49-F238E27FC236}">
              <a16:creationId xmlns:a16="http://schemas.microsoft.com/office/drawing/2014/main" id="{F5214FF0-BC42-0347-B0DA-643C7DB431E5}"/>
            </a:ext>
          </a:extLst>
        </xdr:cNvPr>
        <xdr:cNvSpPr txBox="1"/>
      </xdr:nvSpPr>
      <xdr:spPr>
        <a:xfrm>
          <a:off x="193261" y="2040801"/>
          <a:ext cx="1583808" cy="41564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Avg. Margin %</a:t>
          </a:r>
        </a:p>
      </xdr:txBody>
    </xdr:sp>
    <xdr:clientData/>
  </xdr:twoCellAnchor>
  <xdr:twoCellAnchor>
    <xdr:from>
      <xdr:col>0</xdr:col>
      <xdr:colOff>193261</xdr:colOff>
      <xdr:row>16</xdr:row>
      <xdr:rowOff>20216</xdr:rowOff>
    </xdr:from>
    <xdr:to>
      <xdr:col>0</xdr:col>
      <xdr:colOff>1843522</xdr:colOff>
      <xdr:row>17</xdr:row>
      <xdr:rowOff>75594</xdr:rowOff>
    </xdr:to>
    <xdr:sp macro="" textlink="">
      <xdr:nvSpPr>
        <xdr:cNvPr id="15" name="TextBox 14">
          <a:extLst>
            <a:ext uri="{FF2B5EF4-FFF2-40B4-BE49-F238E27FC236}">
              <a16:creationId xmlns:a16="http://schemas.microsoft.com/office/drawing/2014/main" id="{9CA70CDC-91F1-3EBA-6DE7-78B868859EF7}"/>
            </a:ext>
          </a:extLst>
        </xdr:cNvPr>
        <xdr:cNvSpPr txBox="1"/>
      </xdr:nvSpPr>
      <xdr:spPr>
        <a:xfrm>
          <a:off x="193261" y="3115841"/>
          <a:ext cx="1650261" cy="24885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Loss Rate %</a:t>
          </a:r>
        </a:p>
      </xdr:txBody>
    </xdr:sp>
    <xdr:clientData/>
  </xdr:twoCellAnchor>
  <xdr:twoCellAnchor>
    <xdr:from>
      <xdr:col>0</xdr:col>
      <xdr:colOff>193261</xdr:colOff>
      <xdr:row>21</xdr:row>
      <xdr:rowOff>73315</xdr:rowOff>
    </xdr:from>
    <xdr:to>
      <xdr:col>0</xdr:col>
      <xdr:colOff>2277717</xdr:colOff>
      <xdr:row>22</xdr:row>
      <xdr:rowOff>142338</xdr:rowOff>
    </xdr:to>
    <xdr:sp macro="" textlink="">
      <xdr:nvSpPr>
        <xdr:cNvPr id="17" name="TextBox 16">
          <a:extLst>
            <a:ext uri="{FF2B5EF4-FFF2-40B4-BE49-F238E27FC236}">
              <a16:creationId xmlns:a16="http://schemas.microsoft.com/office/drawing/2014/main" id="{B8FD39E9-2DEA-9D03-4918-172F1303DEF9}"/>
            </a:ext>
          </a:extLst>
        </xdr:cNvPr>
        <xdr:cNvSpPr txBox="1"/>
      </xdr:nvSpPr>
      <xdr:spPr>
        <a:xfrm>
          <a:off x="193261" y="4136323"/>
          <a:ext cx="2084456" cy="26249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Forex</a:t>
          </a:r>
          <a:r>
            <a:rPr lang="en-US" sz="1600" b="1" baseline="0">
              <a:solidFill>
                <a:schemeClr val="bg1"/>
              </a:solidFill>
            </a:rPr>
            <a:t> Driven</a:t>
          </a:r>
          <a:r>
            <a:rPr lang="en-US" sz="1600" b="1">
              <a:solidFill>
                <a:schemeClr val="bg1"/>
              </a:solidFill>
            </a:rPr>
            <a:t> Profit %</a:t>
          </a:r>
        </a:p>
      </xdr:txBody>
    </xdr:sp>
    <xdr:clientData/>
  </xdr:twoCellAnchor>
  <xdr:twoCellAnchor>
    <xdr:from>
      <xdr:col>1</xdr:col>
      <xdr:colOff>33524</xdr:colOff>
      <xdr:row>5</xdr:row>
      <xdr:rowOff>18891</xdr:rowOff>
    </xdr:from>
    <xdr:to>
      <xdr:col>8</xdr:col>
      <xdr:colOff>601578</xdr:colOff>
      <xdr:row>21</xdr:row>
      <xdr:rowOff>87911</xdr:rowOff>
    </xdr:to>
    <xdr:graphicFrame macro="">
      <xdr:nvGraphicFramePr>
        <xdr:cNvPr id="5" name="Chart 4">
          <a:extLst>
            <a:ext uri="{FF2B5EF4-FFF2-40B4-BE49-F238E27FC236}">
              <a16:creationId xmlns:a16="http://schemas.microsoft.com/office/drawing/2014/main" id="{BC1C0B73-FDB9-4386-905C-4F5E7C4B1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384343</xdr:colOff>
      <xdr:row>5</xdr:row>
      <xdr:rowOff>13960</xdr:rowOff>
    </xdr:from>
    <xdr:to>
      <xdr:col>17</xdr:col>
      <xdr:colOff>493324</xdr:colOff>
      <xdr:row>21</xdr:row>
      <xdr:rowOff>60302</xdr:rowOff>
    </xdr:to>
    <xdr:graphicFrame macro="">
      <xdr:nvGraphicFramePr>
        <xdr:cNvPr id="14" name="Chart 13">
          <a:extLst>
            <a:ext uri="{FF2B5EF4-FFF2-40B4-BE49-F238E27FC236}">
              <a16:creationId xmlns:a16="http://schemas.microsoft.com/office/drawing/2014/main" id="{FE33BAF5-4996-46E6-B6E9-ED144DAF7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27115</xdr:colOff>
      <xdr:row>23</xdr:row>
      <xdr:rowOff>32695</xdr:rowOff>
    </xdr:from>
    <xdr:to>
      <xdr:col>9</xdr:col>
      <xdr:colOff>0</xdr:colOff>
      <xdr:row>38</xdr:row>
      <xdr:rowOff>161294</xdr:rowOff>
    </xdr:to>
    <xdr:graphicFrame macro="">
      <xdr:nvGraphicFramePr>
        <xdr:cNvPr id="16" name="Chart 15">
          <a:extLst>
            <a:ext uri="{FF2B5EF4-FFF2-40B4-BE49-F238E27FC236}">
              <a16:creationId xmlns:a16="http://schemas.microsoft.com/office/drawing/2014/main" id="{E8934388-F06E-411A-B67C-C6D33E066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364726</xdr:colOff>
      <xdr:row>23</xdr:row>
      <xdr:rowOff>35602</xdr:rowOff>
    </xdr:from>
    <xdr:to>
      <xdr:col>17</xdr:col>
      <xdr:colOff>501316</xdr:colOff>
      <xdr:row>38</xdr:row>
      <xdr:rowOff>178005</xdr:rowOff>
    </xdr:to>
    <xdr:graphicFrame macro="">
      <xdr:nvGraphicFramePr>
        <xdr:cNvPr id="18" name="Chart 17">
          <a:extLst>
            <a:ext uri="{FF2B5EF4-FFF2-40B4-BE49-F238E27FC236}">
              <a16:creationId xmlns:a16="http://schemas.microsoft.com/office/drawing/2014/main" id="{4BED094C-832A-4199-A49F-8AC68E1F5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42347</xdr:colOff>
      <xdr:row>40</xdr:row>
      <xdr:rowOff>0</xdr:rowOff>
    </xdr:from>
    <xdr:to>
      <xdr:col>9</xdr:col>
      <xdr:colOff>50130</xdr:colOff>
      <xdr:row>56</xdr:row>
      <xdr:rowOff>182363</xdr:rowOff>
    </xdr:to>
    <xdr:graphicFrame macro="">
      <xdr:nvGraphicFramePr>
        <xdr:cNvPr id="19" name="Chart 18">
          <a:extLst>
            <a:ext uri="{FF2B5EF4-FFF2-40B4-BE49-F238E27FC236}">
              <a16:creationId xmlns:a16="http://schemas.microsoft.com/office/drawing/2014/main" id="{796B55D6-7EAA-49CD-AE33-55CCE1CEB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152814</xdr:colOff>
      <xdr:row>28</xdr:row>
      <xdr:rowOff>69022</xdr:rowOff>
    </xdr:from>
    <xdr:to>
      <xdr:col>0</xdr:col>
      <xdr:colOff>1981614</xdr:colOff>
      <xdr:row>35</xdr:row>
      <xdr:rowOff>27609</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B9733D4E-57D5-43D2-B45A-DE274168D37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2814" y="5344407"/>
              <a:ext cx="1828800" cy="1277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180424</xdr:colOff>
      <xdr:row>36</xdr:row>
      <xdr:rowOff>55218</xdr:rowOff>
    </xdr:from>
    <xdr:to>
      <xdr:col>0</xdr:col>
      <xdr:colOff>2009224</xdr:colOff>
      <xdr:row>43</xdr:row>
      <xdr:rowOff>13805</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DB0429A6-6267-4BD5-95E1-17513F9CBB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0424" y="6837855"/>
              <a:ext cx="1828800" cy="1277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194226</xdr:colOff>
      <xdr:row>43</xdr:row>
      <xdr:rowOff>165654</xdr:rowOff>
    </xdr:from>
    <xdr:to>
      <xdr:col>0</xdr:col>
      <xdr:colOff>2023026</xdr:colOff>
      <xdr:row>54</xdr:row>
      <xdr:rowOff>165654</xdr:rowOff>
    </xdr:to>
    <mc:AlternateContent xmlns:mc="http://schemas.openxmlformats.org/markup-compatibility/2006" xmlns:a14="http://schemas.microsoft.com/office/drawing/2010/main">
      <mc:Choice Requires="a14">
        <xdr:graphicFrame macro="">
          <xdr:nvGraphicFramePr>
            <xdr:cNvPr id="22" name="Month">
              <a:extLst>
                <a:ext uri="{FF2B5EF4-FFF2-40B4-BE49-F238E27FC236}">
                  <a16:creationId xmlns:a16="http://schemas.microsoft.com/office/drawing/2014/main" id="{B84FA2FC-E7A4-4F31-A508-40B629CC16B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4226" y="8267138"/>
              <a:ext cx="1828800" cy="2072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33422</xdr:colOff>
      <xdr:row>1</xdr:row>
      <xdr:rowOff>167105</xdr:rowOff>
    </xdr:from>
    <xdr:to>
      <xdr:col>17</xdr:col>
      <xdr:colOff>568159</xdr:colOff>
      <xdr:row>4</xdr:row>
      <xdr:rowOff>50131</xdr:rowOff>
    </xdr:to>
    <xdr:sp macro="" textlink="">
      <xdr:nvSpPr>
        <xdr:cNvPr id="23" name="TextBox 22">
          <a:extLst>
            <a:ext uri="{FF2B5EF4-FFF2-40B4-BE49-F238E27FC236}">
              <a16:creationId xmlns:a16="http://schemas.microsoft.com/office/drawing/2014/main" id="{DA75AA45-D4C6-B54D-5E8C-E556E92ADDA5}"/>
            </a:ext>
          </a:extLst>
        </xdr:cNvPr>
        <xdr:cNvSpPr txBox="1"/>
      </xdr:nvSpPr>
      <xdr:spPr>
        <a:xfrm>
          <a:off x="2456448" y="350921"/>
          <a:ext cx="10160000" cy="434473"/>
        </a:xfrm>
        <a:prstGeom prst="rect">
          <a:avLst/>
        </a:prstGeom>
        <a:solidFill>
          <a:schemeClr val="lt1"/>
        </a:solidFill>
        <a:ln w="9525" cmpd="sng">
          <a:solidFill>
            <a:schemeClr val="lt1">
              <a:shade val="50000"/>
            </a:schemeClr>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Fuel Sales Performance Dashboard For Jan-June 2025</a:t>
          </a:r>
        </a:p>
        <a:p>
          <a:pPr algn="ctr"/>
          <a:endParaRPr lang="en-US" sz="2000" b="1"/>
        </a:p>
      </xdr:txBody>
    </xdr:sp>
    <xdr:clientData/>
  </xdr:twoCellAnchor>
  <xdr:twoCellAnchor>
    <xdr:from>
      <xdr:col>1</xdr:col>
      <xdr:colOff>167106</xdr:colOff>
      <xdr:row>44</xdr:row>
      <xdr:rowOff>16709</xdr:rowOff>
    </xdr:from>
    <xdr:to>
      <xdr:col>4</xdr:col>
      <xdr:colOff>401053</xdr:colOff>
      <xdr:row>47</xdr:row>
      <xdr:rowOff>83553</xdr:rowOff>
    </xdr:to>
    <xdr:sp macro="" textlink="">
      <xdr:nvSpPr>
        <xdr:cNvPr id="24" name="TextBox 23">
          <a:extLst>
            <a:ext uri="{FF2B5EF4-FFF2-40B4-BE49-F238E27FC236}">
              <a16:creationId xmlns:a16="http://schemas.microsoft.com/office/drawing/2014/main" id="{C20E78B6-365B-497D-A0E7-C7007B4FA09E}"/>
            </a:ext>
          </a:extLst>
        </xdr:cNvPr>
        <xdr:cNvSpPr txBox="1"/>
      </xdr:nvSpPr>
      <xdr:spPr>
        <a:xfrm>
          <a:off x="2590132" y="8104604"/>
          <a:ext cx="2038684" cy="618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89% of profit is driven by high forex conditions.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9.967069791666" createdVersion="8" refreshedVersion="8" minRefreshableVersion="3" recordCount="300" xr:uid="{23739BB3-C7CC-4539-95FF-6FA958DA9E99}">
  <cacheSource type="worksheet">
    <worksheetSource name="Sales_Data"/>
  </cacheSource>
  <cacheFields count="16">
    <cacheField name="Transaction Date" numFmtId="14">
      <sharedItems containsSemiMixedTypes="0" containsNonDate="0" containsDate="1" containsString="0" minDate="2025-01-01T00:00:00" maxDate="2025-06-30T00:00:00" count="150">
        <d v="2025-03-12T00:00:00"/>
        <d v="2025-02-26T00:00:00"/>
        <d v="2025-04-08T00:00:00"/>
        <d v="2025-05-16T00:00:00"/>
        <d v="2025-02-04T00:00:00"/>
        <d v="2025-04-19T00:00:00"/>
        <d v="2025-05-02T00:00:00"/>
        <d v="2025-05-18T00:00:00"/>
        <d v="2025-01-16T00:00:00"/>
        <d v="2025-01-29T00:00:00"/>
        <d v="2025-06-12T00:00:00"/>
        <d v="2025-06-25T00:00:00"/>
        <d v="2025-05-30T00:00:00"/>
        <d v="2025-05-09T00:00:00"/>
        <d v="2025-05-31T00:00:00"/>
        <d v="2025-01-15T00:00:00"/>
        <d v="2025-01-19T00:00:00"/>
        <d v="2025-06-08T00:00:00"/>
        <d v="2025-04-21T00:00:00"/>
        <d v="2025-03-02T00:00:00"/>
        <d v="2025-04-28T00:00:00"/>
        <d v="2025-02-15T00:00:00"/>
        <d v="2025-04-04T00:00:00"/>
        <d v="2025-06-23T00:00:00"/>
        <d v="2025-03-14T00:00:00"/>
        <d v="2025-05-07T00:00:00"/>
        <d v="2025-04-24T00:00:00"/>
        <d v="2025-05-28T00:00:00"/>
        <d v="2025-02-12T00:00:00"/>
        <d v="2025-03-28T00:00:00"/>
        <d v="2025-06-09T00:00:00"/>
        <d v="2025-03-21T00:00:00"/>
        <d v="2025-05-10T00:00:00"/>
        <d v="2025-04-30T00:00:00"/>
        <d v="2025-04-01T00:00:00"/>
        <d v="2025-01-05T00:00:00"/>
        <d v="2025-03-01T00:00:00"/>
        <d v="2025-03-17T00:00:00"/>
        <d v="2025-05-03T00:00:00"/>
        <d v="2025-01-31T00:00:00"/>
        <d v="2025-06-19T00:00:00"/>
        <d v="2025-03-09T00:00:00"/>
        <d v="2025-06-29T00:00:00"/>
        <d v="2025-04-16T00:00:00"/>
        <d v="2025-02-18T00:00:00"/>
        <d v="2025-01-24T00:00:00"/>
        <d v="2025-06-03T00:00:00"/>
        <d v="2025-03-30T00:00:00"/>
        <d v="2025-06-16T00:00:00"/>
        <d v="2025-05-08T00:00:00"/>
        <d v="2025-06-26T00:00:00"/>
        <d v="2025-06-05T00:00:00"/>
        <d v="2025-02-03T00:00:00"/>
        <d v="2025-01-30T00:00:00"/>
        <d v="2025-02-05T00:00:00"/>
        <d v="2025-04-17T00:00:00"/>
        <d v="2025-06-02T00:00:00"/>
        <d v="2025-04-18T00:00:00"/>
        <d v="2025-04-27T00:00:00"/>
        <d v="2025-03-22T00:00:00"/>
        <d v="2025-06-21T00:00:00"/>
        <d v="2025-01-28T00:00:00"/>
        <d v="2025-05-26T00:00:00"/>
        <d v="2025-02-14T00:00:00"/>
        <d v="2025-05-27T00:00:00"/>
        <d v="2025-02-20T00:00:00"/>
        <d v="2025-04-23T00:00:00"/>
        <d v="2025-04-29T00:00:00"/>
        <d v="2025-03-05T00:00:00"/>
        <d v="2025-03-06T00:00:00"/>
        <d v="2025-04-25T00:00:00"/>
        <d v="2025-04-26T00:00:00"/>
        <d v="2025-05-01T00:00:00"/>
        <d v="2025-01-17T00:00:00"/>
        <d v="2025-01-18T00:00:00"/>
        <d v="2025-01-12T00:00:00"/>
        <d v="2025-01-21T00:00:00"/>
        <d v="2025-05-24T00:00:00"/>
        <d v="2025-06-20T00:00:00"/>
        <d v="2025-04-03T00:00:00"/>
        <d v="2025-05-13T00:00:00"/>
        <d v="2025-05-25T00:00:00"/>
        <d v="2025-03-23T00:00:00"/>
        <d v="2025-02-10T00:00:00"/>
        <d v="2025-03-15T00:00:00"/>
        <d v="2025-02-02T00:00:00"/>
        <d v="2025-03-25T00:00:00"/>
        <d v="2025-01-09T00:00:00"/>
        <d v="2025-02-19T00:00:00"/>
        <d v="2025-04-12T00:00:00"/>
        <d v="2025-06-07T00:00:00"/>
        <d v="2025-03-16T00:00:00"/>
        <d v="2025-04-15T00:00:00"/>
        <d v="2025-01-01T00:00:00"/>
        <d v="2025-03-03T00:00:00"/>
        <d v="2025-05-23T00:00:00"/>
        <d v="2025-06-22T00:00:00"/>
        <d v="2025-03-07T00:00:00"/>
        <d v="2025-04-14T00:00:00"/>
        <d v="2025-01-22T00:00:00"/>
        <d v="2025-05-20T00:00:00"/>
        <d v="2025-04-09T00:00:00"/>
        <d v="2025-05-22T00:00:00"/>
        <d v="2025-02-07T00:00:00"/>
        <d v="2025-03-26T00:00:00"/>
        <d v="2025-06-27T00:00:00"/>
        <d v="2025-01-26T00:00:00"/>
        <d v="2025-01-27T00:00:00"/>
        <d v="2025-03-18T00:00:00"/>
        <d v="2025-06-13T00:00:00"/>
        <d v="2025-03-31T00:00:00"/>
        <d v="2025-04-20T00:00:00"/>
        <d v="2025-01-23T00:00:00"/>
        <d v="2025-06-10T00:00:00"/>
        <d v="2025-04-13T00:00:00"/>
        <d v="2025-02-08T00:00:00"/>
        <d v="2025-06-01T00:00:00"/>
        <d v="2025-05-21T00:00:00"/>
        <d v="2025-02-13T00:00:00"/>
        <d v="2025-01-06T00:00:00"/>
        <d v="2025-06-04T00:00:00"/>
        <d v="2025-03-10T00:00:00"/>
        <d v="2025-06-24T00:00:00"/>
        <d v="2025-01-14T00:00:00"/>
        <d v="2025-01-04T00:00:00"/>
        <d v="2025-02-01T00:00:00"/>
        <d v="2025-01-11T00:00:00"/>
        <d v="2025-02-16T00:00:00"/>
        <d v="2025-06-14T00:00:00"/>
        <d v="2025-05-11T00:00:00"/>
        <d v="2025-02-17T00:00:00"/>
        <d v="2025-05-05T00:00:00"/>
        <d v="2025-02-11T00:00:00"/>
        <d v="2025-03-13T00:00:00"/>
        <d v="2025-05-12T00:00:00"/>
        <d v="2025-01-20T00:00:00"/>
        <d v="2025-04-07T00:00:00"/>
        <d v="2025-03-29T00:00:00"/>
        <d v="2025-05-04T00:00:00"/>
        <d v="2025-06-28T00:00:00"/>
        <d v="2025-03-08T00:00:00"/>
        <d v="2025-01-02T00:00:00"/>
        <d v="2025-06-18T00:00:00"/>
        <d v="2025-02-21T00:00:00"/>
        <d v="2025-02-24T00:00:00"/>
        <d v="2025-01-10T00:00:00"/>
        <d v="2025-05-15T00:00:00"/>
        <d v="2025-03-20T00:00:00"/>
        <d v="2025-04-11T00:00:00"/>
        <d v="2025-02-22T00:00:00"/>
      </sharedItems>
      <fieldGroup par="15" base="0">
        <rangePr groupBy="days" startDate="2025-01-01T00:00:00" endDate="2025-06-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5"/>
        </groupItems>
      </fieldGroup>
    </cacheField>
    <cacheField name="Month" numFmtId="0">
      <sharedItems count="6">
        <s v="March"/>
        <s v="February"/>
        <s v="April"/>
        <s v="May"/>
        <s v="January"/>
        <s v="June"/>
      </sharedItems>
    </cacheField>
    <cacheField name="Product" numFmtId="0">
      <sharedItems count="3">
        <s v="DPK"/>
        <s v="AGO"/>
        <s v="PMS"/>
      </sharedItems>
    </cacheField>
    <cacheField name="Region" numFmtId="0">
      <sharedItems count="3">
        <s v="South-West"/>
        <s v="South-South"/>
        <s v="North"/>
      </sharedItems>
    </cacheField>
    <cacheField name="Depot" numFmtId="0">
      <sharedItems count="6">
        <s v="Apapa"/>
        <s v="Ibadan"/>
        <s v="Port Harcourt"/>
        <s v="Calabar"/>
        <s v="Kano"/>
        <s v="Kaduna"/>
      </sharedItems>
    </cacheField>
    <cacheField name="Litres Sold" numFmtId="0">
      <sharedItems containsSemiMixedTypes="0" containsString="0" containsNumber="1" containsInteger="1" minValue="5141" maxValue="44163"/>
    </cacheField>
    <cacheField name="Cost per Litre" numFmtId="0">
      <sharedItems containsSemiMixedTypes="0" containsString="0" containsNumber="1" containsInteger="1" minValue="420" maxValue="720"/>
    </cacheField>
    <cacheField name="Selling Price per Litres" numFmtId="0">
      <sharedItems containsSemiMixedTypes="0" containsString="0" containsNumber="1" containsInteger="1" minValue="462" maxValue="895"/>
    </cacheField>
    <cacheField name="Forex Rate" numFmtId="0">
      <sharedItems containsSemiMixedTypes="0" containsString="0" containsNumber="1" containsInteger="1" minValue="1208" maxValue="1600"/>
    </cacheField>
    <cacheField name="Forex Band" numFmtId="0">
      <sharedItems count="2">
        <s v="1100–1299"/>
        <s v="1300+"/>
      </sharedItems>
    </cacheField>
    <cacheField name="Logistics" numFmtId="0">
      <sharedItems containsSemiMixedTypes="0" containsString="0" containsNumber="1" containsInteger="1" minValue="200177" maxValue="1195163"/>
    </cacheField>
    <cacheField name="Revenue" numFmtId="0">
      <sharedItems containsSemiMixedTypes="0" containsString="0" containsNumber="1" containsInteger="1" minValue="3020220" maxValue="33869340"/>
    </cacheField>
    <cacheField name="Profit" numFmtId="0">
      <sharedItems containsSemiMixedTypes="0" containsString="0" containsNumber="1" containsInteger="1" minValue="-7471710" maxValue="11319923"/>
    </cacheField>
    <cacheField name="Profit Status" numFmtId="0">
      <sharedItems count="2">
        <s v="Loss"/>
        <s v="Profit"/>
      </sharedItems>
    </cacheField>
    <cacheField name="Profit Margin %" numFmtId="10">
      <sharedItems containsSemiMixedTypes="0" containsString="0" containsNumber="1" minValue="-0.44601287323439998" maxValue="0.478441281527688"/>
    </cacheField>
    <cacheField name="Months" numFmtId="0" databaseField="0">
      <fieldGroup base="0">
        <rangePr groupBy="months" startDate="2025-01-01T00:00:00" endDate="2025-06-30T00:00:00"/>
        <groupItems count="14">
          <s v="&lt;01/01/2025"/>
          <s v="Jan"/>
          <s v="Feb"/>
          <s v="Mar"/>
          <s v="Apr"/>
          <s v="May"/>
          <s v="Jun"/>
          <s v="Jul"/>
          <s v="Aug"/>
          <s v="Sep"/>
          <s v="Oct"/>
          <s v="Nov"/>
          <s v="Dec"/>
          <s v="&gt;30/06/2025"/>
        </groupItems>
      </fieldGroup>
    </cacheField>
  </cacheFields>
  <extLst>
    <ext xmlns:x14="http://schemas.microsoft.com/office/spreadsheetml/2009/9/main" uri="{725AE2AE-9491-48be-B2B4-4EB974FC3084}">
      <x14:pivotCacheDefinition pivotCacheId="2013679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n v="24580"/>
    <n v="601"/>
    <n v="489"/>
    <n v="1213"/>
    <x v="0"/>
    <n v="729903"/>
    <n v="12019620"/>
    <n v="-3482863"/>
    <x v="0"/>
    <n v="-0.289764817856139"/>
  </r>
  <r>
    <x v="1"/>
    <x v="1"/>
    <x v="0"/>
    <x v="0"/>
    <x v="1"/>
    <n v="43618"/>
    <n v="468"/>
    <n v="520"/>
    <n v="1352"/>
    <x v="1"/>
    <n v="680425"/>
    <n v="22681360"/>
    <n v="1587711"/>
    <x v="1"/>
    <n v="7.0000696607258106E-2"/>
  </r>
  <r>
    <x v="2"/>
    <x v="2"/>
    <x v="0"/>
    <x v="0"/>
    <x v="1"/>
    <n v="23880"/>
    <n v="567"/>
    <n v="502"/>
    <n v="1336"/>
    <x v="1"/>
    <n v="365840"/>
    <n v="11987760"/>
    <n v="-1918040"/>
    <x v="0"/>
    <n v="-0.159999866530528"/>
  </r>
  <r>
    <x v="3"/>
    <x v="3"/>
    <x v="0"/>
    <x v="0"/>
    <x v="1"/>
    <n v="23880"/>
    <n v="634"/>
    <n v="742"/>
    <n v="1560"/>
    <x v="1"/>
    <n v="267136"/>
    <n v="17718960"/>
    <n v="2311904"/>
    <x v="1"/>
    <n v="0.130476280774944"/>
  </r>
  <r>
    <x v="4"/>
    <x v="1"/>
    <x v="0"/>
    <x v="1"/>
    <x v="2"/>
    <n v="24418"/>
    <n v="550"/>
    <n v="545"/>
    <n v="1454"/>
    <x v="1"/>
    <n v="712262"/>
    <n v="13307810"/>
    <n v="-834352"/>
    <x v="0"/>
    <n v="-6.2696416615506206E-2"/>
  </r>
  <r>
    <x v="5"/>
    <x v="2"/>
    <x v="0"/>
    <x v="1"/>
    <x v="2"/>
    <n v="23254"/>
    <n v="567"/>
    <n v="636"/>
    <n v="1588"/>
    <x v="1"/>
    <n v="626156"/>
    <n v="14789544"/>
    <n v="978370"/>
    <x v="1"/>
    <n v="6.6152817152442298E-2"/>
  </r>
  <r>
    <x v="6"/>
    <x v="3"/>
    <x v="0"/>
    <x v="1"/>
    <x v="2"/>
    <n v="17478"/>
    <n v="526"/>
    <n v="588"/>
    <n v="1224"/>
    <x v="0"/>
    <n v="460735"/>
    <n v="10277064"/>
    <n v="622901"/>
    <x v="1"/>
    <n v="6.0610793121459602E-2"/>
  </r>
  <r>
    <x v="7"/>
    <x v="3"/>
    <x v="1"/>
    <x v="0"/>
    <x v="1"/>
    <n v="21280"/>
    <n v="609"/>
    <n v="682"/>
    <n v="1465"/>
    <x v="1"/>
    <n v="1096865"/>
    <n v="14512960"/>
    <n v="456575"/>
    <x v="1"/>
    <n v="3.1459812471060403E-2"/>
  </r>
  <r>
    <x v="8"/>
    <x v="4"/>
    <x v="1"/>
    <x v="0"/>
    <x v="1"/>
    <n v="5141"/>
    <n v="655"/>
    <n v="763"/>
    <n v="1262"/>
    <x v="0"/>
    <n v="680425"/>
    <n v="3922583"/>
    <n v="-125197"/>
    <x v="0"/>
    <n v="-3.1916979194576603E-2"/>
  </r>
  <r>
    <x v="9"/>
    <x v="4"/>
    <x v="1"/>
    <x v="1"/>
    <x v="2"/>
    <n v="25153"/>
    <n v="492"/>
    <n v="512"/>
    <n v="1591"/>
    <x v="1"/>
    <n v="891798"/>
    <n v="12878336"/>
    <n v="-388738"/>
    <x v="0"/>
    <n v="-3.01854214705999E-2"/>
  </r>
  <r>
    <x v="10"/>
    <x v="5"/>
    <x v="1"/>
    <x v="1"/>
    <x v="3"/>
    <n v="29260"/>
    <n v="574"/>
    <n v="631"/>
    <n v="1298"/>
    <x v="0"/>
    <n v="649484"/>
    <n v="18463060"/>
    <n v="1018336"/>
    <x v="1"/>
    <n v="5.5155320948965102E-2"/>
  </r>
  <r>
    <x v="11"/>
    <x v="5"/>
    <x v="0"/>
    <x v="2"/>
    <x v="4"/>
    <n v="8665"/>
    <n v="662"/>
    <n v="874"/>
    <n v="1389"/>
    <x v="1"/>
    <n v="349811"/>
    <n v="7573210"/>
    <n v="1487169"/>
    <x v="1"/>
    <n v="0.19637234409187099"/>
  </r>
  <r>
    <x v="12"/>
    <x v="3"/>
    <x v="2"/>
    <x v="0"/>
    <x v="1"/>
    <n v="31175"/>
    <n v="563"/>
    <n v="598"/>
    <n v="1544"/>
    <x v="1"/>
    <n v="913536"/>
    <n v="18642650"/>
    <n v="177589"/>
    <x v="1"/>
    <n v="9.5259525872126594E-3"/>
  </r>
  <r>
    <x v="13"/>
    <x v="3"/>
    <x v="2"/>
    <x v="2"/>
    <x v="5"/>
    <n v="23786"/>
    <n v="563"/>
    <n v="540"/>
    <n v="1401"/>
    <x v="1"/>
    <n v="743995"/>
    <n v="12844440"/>
    <n v="-1291073"/>
    <x v="0"/>
    <n v="-0.10051609879449799"/>
  </r>
  <r>
    <x v="14"/>
    <x v="3"/>
    <x v="2"/>
    <x v="2"/>
    <x v="4"/>
    <n v="21285"/>
    <n v="609"/>
    <n v="714"/>
    <n v="1401"/>
    <x v="1"/>
    <n v="675852"/>
    <n v="15197490"/>
    <n v="1559073"/>
    <x v="1"/>
    <n v="0.102587532546493"/>
  </r>
  <r>
    <x v="0"/>
    <x v="0"/>
    <x v="2"/>
    <x v="0"/>
    <x v="1"/>
    <n v="5232"/>
    <n v="540"/>
    <n v="649"/>
    <n v="1405"/>
    <x v="1"/>
    <n v="680425"/>
    <n v="3395568"/>
    <n v="-110137"/>
    <x v="0"/>
    <n v="-3.2435515943135297E-2"/>
  </r>
  <r>
    <x v="15"/>
    <x v="4"/>
    <x v="2"/>
    <x v="2"/>
    <x v="5"/>
    <n v="23786"/>
    <n v="696"/>
    <n v="812"/>
    <n v="1227"/>
    <x v="0"/>
    <n v="743995"/>
    <n v="19314232"/>
    <n v="2015181"/>
    <x v="1"/>
    <n v="0.10433658454553101"/>
  </r>
  <r>
    <x v="16"/>
    <x v="4"/>
    <x v="2"/>
    <x v="1"/>
    <x v="2"/>
    <n v="38153"/>
    <n v="700"/>
    <n v="521"/>
    <n v="1400"/>
    <x v="1"/>
    <n v="642323"/>
    <n v="19877713"/>
    <n v="-7471710"/>
    <x v="0"/>
    <n v="-0.375883785020943"/>
  </r>
  <r>
    <x v="17"/>
    <x v="5"/>
    <x v="2"/>
    <x v="2"/>
    <x v="4"/>
    <n v="21285"/>
    <n v="577"/>
    <n v="591"/>
    <n v="1469"/>
    <x v="1"/>
    <n v="679434"/>
    <n v="12579435"/>
    <n v="-381444"/>
    <x v="0"/>
    <n v="-3.03228245147735E-2"/>
  </r>
  <r>
    <x v="18"/>
    <x v="2"/>
    <x v="2"/>
    <x v="1"/>
    <x v="2"/>
    <n v="25202"/>
    <n v="690"/>
    <n v="799"/>
    <n v="1422"/>
    <x v="1"/>
    <n v="1117202"/>
    <n v="20136398"/>
    <n v="1629816"/>
    <x v="1"/>
    <n v="8.0938805440774503E-2"/>
  </r>
  <r>
    <x v="19"/>
    <x v="0"/>
    <x v="0"/>
    <x v="2"/>
    <x v="4"/>
    <n v="16603"/>
    <n v="697"/>
    <n v="796"/>
    <n v="1307"/>
    <x v="1"/>
    <n v="601124"/>
    <n v="13215988"/>
    <n v="1042573"/>
    <x v="1"/>
    <n v="7.8887253832252299E-2"/>
  </r>
  <r>
    <x v="20"/>
    <x v="2"/>
    <x v="1"/>
    <x v="0"/>
    <x v="0"/>
    <n v="25000"/>
    <n v="478"/>
    <n v="481"/>
    <n v="1422"/>
    <x v="1"/>
    <n v="762262"/>
    <n v="12025000"/>
    <n v="-687262"/>
    <x v="0"/>
    <n v="-5.7152765072765101E-2"/>
  </r>
  <r>
    <x v="21"/>
    <x v="1"/>
    <x v="2"/>
    <x v="0"/>
    <x v="1"/>
    <n v="22232"/>
    <n v="639"/>
    <n v="697"/>
    <n v="1431"/>
    <x v="1"/>
    <n v="943215"/>
    <n v="15495704"/>
    <n v="346241"/>
    <x v="1"/>
    <n v="2.2344322013378701E-2"/>
  </r>
  <r>
    <x v="22"/>
    <x v="2"/>
    <x v="2"/>
    <x v="2"/>
    <x v="4"/>
    <n v="21285"/>
    <n v="591"/>
    <n v="855"/>
    <n v="1422"/>
    <x v="1"/>
    <n v="510016"/>
    <n v="18198675"/>
    <n v="5109224"/>
    <x v="1"/>
    <n v="0.28074703240757898"/>
  </r>
  <r>
    <x v="23"/>
    <x v="5"/>
    <x v="2"/>
    <x v="1"/>
    <x v="3"/>
    <n v="24723"/>
    <n v="420"/>
    <n v="804"/>
    <n v="1386"/>
    <x v="1"/>
    <n v="649484"/>
    <n v="19877292"/>
    <n v="8844148"/>
    <x v="1"/>
    <n v="0.44493726811479201"/>
  </r>
  <r>
    <x v="24"/>
    <x v="0"/>
    <x v="2"/>
    <x v="2"/>
    <x v="4"/>
    <n v="21285"/>
    <n v="513"/>
    <n v="560"/>
    <n v="1507"/>
    <x v="1"/>
    <n v="675852"/>
    <n v="11919600"/>
    <n v="324543"/>
    <x v="1"/>
    <n v="2.72276754253498E-2"/>
  </r>
  <r>
    <x v="25"/>
    <x v="3"/>
    <x v="0"/>
    <x v="0"/>
    <x v="1"/>
    <n v="23880"/>
    <n v="626"/>
    <n v="548"/>
    <n v="1220"/>
    <x v="0"/>
    <n v="339816"/>
    <n v="13086240"/>
    <n v="-2202456"/>
    <x v="0"/>
    <n v="-0.168303194806148"/>
  </r>
  <r>
    <x v="26"/>
    <x v="2"/>
    <x v="0"/>
    <x v="2"/>
    <x v="5"/>
    <n v="40905"/>
    <n v="562"/>
    <n v="828"/>
    <n v="1422"/>
    <x v="1"/>
    <n v="487936"/>
    <n v="33869340"/>
    <n v="10392794"/>
    <x v="1"/>
    <n v="0.30684961679206002"/>
  </r>
  <r>
    <x v="19"/>
    <x v="0"/>
    <x v="2"/>
    <x v="2"/>
    <x v="5"/>
    <n v="23786"/>
    <n v="465"/>
    <n v="552"/>
    <n v="1332"/>
    <x v="1"/>
    <n v="635970"/>
    <n v="13129872"/>
    <n v="1433412"/>
    <x v="1"/>
    <n v="0.109171818278198"/>
  </r>
  <r>
    <x v="27"/>
    <x v="3"/>
    <x v="1"/>
    <x v="1"/>
    <x v="2"/>
    <n v="5386"/>
    <n v="537"/>
    <n v="606"/>
    <n v="1309"/>
    <x v="1"/>
    <n v="607746"/>
    <n v="3263916"/>
    <n v="-236112"/>
    <x v="0"/>
    <n v="-7.2340096987790106E-2"/>
  </r>
  <r>
    <x v="28"/>
    <x v="1"/>
    <x v="0"/>
    <x v="2"/>
    <x v="5"/>
    <n v="13364"/>
    <n v="550"/>
    <n v="462"/>
    <n v="1254"/>
    <x v="0"/>
    <n v="597519"/>
    <n v="6174168"/>
    <n v="-1773551"/>
    <x v="0"/>
    <n v="-0.287253440463557"/>
  </r>
  <r>
    <x v="29"/>
    <x v="0"/>
    <x v="2"/>
    <x v="1"/>
    <x v="3"/>
    <n v="32627"/>
    <n v="540"/>
    <n v="693"/>
    <n v="1405"/>
    <x v="1"/>
    <n v="242213"/>
    <n v="22610511"/>
    <n v="4749718"/>
    <x v="1"/>
    <n v="0.210066813616021"/>
  </r>
  <r>
    <x v="30"/>
    <x v="5"/>
    <x v="2"/>
    <x v="0"/>
    <x v="0"/>
    <n v="13272"/>
    <n v="621"/>
    <n v="565"/>
    <n v="1389"/>
    <x v="1"/>
    <n v="953252"/>
    <n v="7498680"/>
    <n v="-1696484"/>
    <x v="0"/>
    <n v="-0.226237684499138"/>
  </r>
  <r>
    <x v="31"/>
    <x v="0"/>
    <x v="1"/>
    <x v="0"/>
    <x v="0"/>
    <n v="30995"/>
    <n v="598"/>
    <n v="619"/>
    <n v="1518"/>
    <x v="1"/>
    <n v="758623"/>
    <n v="19185905"/>
    <n v="-107728"/>
    <x v="0"/>
    <n v="-5.6149553539434297E-3"/>
  </r>
  <r>
    <x v="32"/>
    <x v="3"/>
    <x v="0"/>
    <x v="1"/>
    <x v="2"/>
    <n v="32528"/>
    <n v="596"/>
    <n v="851"/>
    <n v="1401"/>
    <x v="1"/>
    <n v="882054"/>
    <n v="27681328"/>
    <n v="7412586"/>
    <x v="1"/>
    <n v="0.26778288960703001"/>
  </r>
  <r>
    <x v="33"/>
    <x v="2"/>
    <x v="0"/>
    <x v="2"/>
    <x v="5"/>
    <n v="22589"/>
    <n v="676"/>
    <n v="653"/>
    <n v="1467"/>
    <x v="1"/>
    <n v="718317"/>
    <n v="14750617"/>
    <n v="-1237864"/>
    <x v="0"/>
    <n v="-8.3919472656635297E-2"/>
  </r>
  <r>
    <x v="34"/>
    <x v="2"/>
    <x v="2"/>
    <x v="1"/>
    <x v="2"/>
    <n v="22371"/>
    <n v="630"/>
    <n v="697"/>
    <n v="1488"/>
    <x v="1"/>
    <n v="642323"/>
    <n v="15592587"/>
    <n v="856534"/>
    <x v="1"/>
    <n v="5.49321289661555E-2"/>
  </r>
  <r>
    <x v="35"/>
    <x v="4"/>
    <x v="0"/>
    <x v="1"/>
    <x v="3"/>
    <n v="19522"/>
    <n v="604"/>
    <n v="616"/>
    <n v="1498"/>
    <x v="1"/>
    <n v="936996"/>
    <n v="12025552"/>
    <n v="-702732"/>
    <x v="0"/>
    <n v="-5.8436569065603003E-2"/>
  </r>
  <r>
    <x v="36"/>
    <x v="0"/>
    <x v="1"/>
    <x v="1"/>
    <x v="3"/>
    <n v="17621"/>
    <n v="566"/>
    <n v="654"/>
    <n v="1405"/>
    <x v="1"/>
    <n v="649484"/>
    <n v="11524134"/>
    <n v="901164"/>
    <x v="1"/>
    <n v="7.8197979995720299E-2"/>
  </r>
  <r>
    <x v="37"/>
    <x v="0"/>
    <x v="1"/>
    <x v="0"/>
    <x v="0"/>
    <n v="16759"/>
    <n v="580"/>
    <n v="475"/>
    <n v="1250"/>
    <x v="0"/>
    <n v="307570"/>
    <n v="7960525"/>
    <n v="-2067265"/>
    <x v="0"/>
    <n v="-0.25968953052719501"/>
  </r>
  <r>
    <x v="38"/>
    <x v="3"/>
    <x v="0"/>
    <x v="1"/>
    <x v="3"/>
    <n v="27328"/>
    <n v="496"/>
    <n v="596"/>
    <n v="1431"/>
    <x v="1"/>
    <n v="649484"/>
    <n v="16287488"/>
    <n v="2083316"/>
    <x v="1"/>
    <n v="0.12790898142181301"/>
  </r>
  <r>
    <x v="39"/>
    <x v="4"/>
    <x v="1"/>
    <x v="0"/>
    <x v="0"/>
    <n v="19983"/>
    <n v="577"/>
    <n v="584"/>
    <n v="1400"/>
    <x v="1"/>
    <n v="976039"/>
    <n v="11670072"/>
    <n v="-836158"/>
    <x v="0"/>
    <n v="-7.1649772169357598E-2"/>
  </r>
  <r>
    <x v="40"/>
    <x v="5"/>
    <x v="0"/>
    <x v="0"/>
    <x v="1"/>
    <n v="15292"/>
    <n v="467"/>
    <n v="717"/>
    <n v="1315"/>
    <x v="1"/>
    <n v="1101362"/>
    <n v="10964364"/>
    <n v="2721638"/>
    <x v="1"/>
    <n v="0.24822579768420699"/>
  </r>
  <r>
    <x v="41"/>
    <x v="0"/>
    <x v="2"/>
    <x v="2"/>
    <x v="4"/>
    <n v="21285"/>
    <n v="465"/>
    <n v="566"/>
    <n v="1405"/>
    <x v="1"/>
    <n v="502630"/>
    <n v="12047310"/>
    <n v="1647155"/>
    <x v="1"/>
    <n v="0.13672388275889"/>
  </r>
  <r>
    <x v="42"/>
    <x v="5"/>
    <x v="2"/>
    <x v="1"/>
    <x v="3"/>
    <n v="29491"/>
    <n v="568"/>
    <n v="781"/>
    <n v="1389"/>
    <x v="1"/>
    <n v="649484"/>
    <n v="23032471"/>
    <n v="5632099"/>
    <x v="1"/>
    <n v="0.24452864827225901"/>
  </r>
  <r>
    <x v="27"/>
    <x v="3"/>
    <x v="0"/>
    <x v="0"/>
    <x v="1"/>
    <n v="23880"/>
    <n v="615"/>
    <n v="646"/>
    <n v="1388"/>
    <x v="1"/>
    <n v="680425"/>
    <n v="15426480"/>
    <n v="59855"/>
    <x v="1"/>
    <n v="3.8800166985598801E-3"/>
  </r>
  <r>
    <x v="43"/>
    <x v="2"/>
    <x v="2"/>
    <x v="0"/>
    <x v="1"/>
    <n v="22232"/>
    <n v="446"/>
    <n v="887"/>
    <n v="1546"/>
    <x v="1"/>
    <n v="680425"/>
    <n v="19719784"/>
    <n v="9123887"/>
    <x v="1"/>
    <n v="0.46267682242361302"/>
  </r>
  <r>
    <x v="44"/>
    <x v="1"/>
    <x v="1"/>
    <x v="1"/>
    <x v="2"/>
    <n v="37669"/>
    <n v="585"/>
    <n v="643"/>
    <n v="1212"/>
    <x v="0"/>
    <n v="366071"/>
    <n v="24221167"/>
    <n v="1818731"/>
    <x v="1"/>
    <n v="7.5088495942412695E-2"/>
  </r>
  <r>
    <x v="45"/>
    <x v="4"/>
    <x v="0"/>
    <x v="0"/>
    <x v="1"/>
    <n v="12435"/>
    <n v="604"/>
    <n v="581"/>
    <n v="1393"/>
    <x v="1"/>
    <n v="680425"/>
    <n v="7224735"/>
    <n v="-966430"/>
    <x v="0"/>
    <n v="-0.13376684404341499"/>
  </r>
  <r>
    <x v="46"/>
    <x v="5"/>
    <x v="2"/>
    <x v="1"/>
    <x v="2"/>
    <n v="23104"/>
    <n v="656"/>
    <n v="577"/>
    <n v="1389"/>
    <x v="1"/>
    <n v="713425"/>
    <n v="13331008"/>
    <n v="-2538641"/>
    <x v="0"/>
    <n v="-0.190431286216316"/>
  </r>
  <r>
    <x v="47"/>
    <x v="0"/>
    <x v="1"/>
    <x v="2"/>
    <x v="5"/>
    <n v="40614"/>
    <n v="557"/>
    <n v="557"/>
    <n v="1293"/>
    <x v="0"/>
    <n v="980879"/>
    <n v="22621998"/>
    <n v="-980879"/>
    <x v="0"/>
    <n v="-4.3359521117453899E-2"/>
  </r>
  <r>
    <x v="40"/>
    <x v="5"/>
    <x v="0"/>
    <x v="1"/>
    <x v="3"/>
    <n v="37461"/>
    <n v="571"/>
    <n v="648"/>
    <n v="1389"/>
    <x v="1"/>
    <n v="278463"/>
    <n v="24274728"/>
    <n v="2606034"/>
    <x v="1"/>
    <n v="0.107355847612381"/>
  </r>
  <r>
    <x v="48"/>
    <x v="5"/>
    <x v="1"/>
    <x v="1"/>
    <x v="3"/>
    <n v="39971"/>
    <n v="608"/>
    <n v="714"/>
    <n v="1474"/>
    <x v="1"/>
    <n v="438536"/>
    <n v="28539294"/>
    <n v="3798390"/>
    <x v="1"/>
    <n v="0.13309334141202001"/>
  </r>
  <r>
    <x v="26"/>
    <x v="2"/>
    <x v="1"/>
    <x v="0"/>
    <x v="0"/>
    <n v="24625"/>
    <n v="437"/>
    <n v="516"/>
    <n v="1426"/>
    <x v="1"/>
    <n v="697375"/>
    <n v="12706500"/>
    <n v="1248000"/>
    <x v="1"/>
    <n v="9.8217447762956003E-2"/>
  </r>
  <r>
    <x v="49"/>
    <x v="3"/>
    <x v="1"/>
    <x v="2"/>
    <x v="4"/>
    <n v="17892"/>
    <n v="496"/>
    <n v="659"/>
    <n v="1263"/>
    <x v="0"/>
    <n v="675852"/>
    <n v="11790828"/>
    <n v="2240544"/>
    <x v="1"/>
    <n v="0.19002431381409299"/>
  </r>
  <r>
    <x v="50"/>
    <x v="5"/>
    <x v="1"/>
    <x v="2"/>
    <x v="5"/>
    <n v="34939"/>
    <n v="720"/>
    <n v="707"/>
    <n v="1389"/>
    <x v="1"/>
    <n v="615032"/>
    <n v="24701873"/>
    <n v="-1069239"/>
    <x v="0"/>
    <n v="-4.3285745983715498E-2"/>
  </r>
  <r>
    <x v="51"/>
    <x v="5"/>
    <x v="0"/>
    <x v="2"/>
    <x v="4"/>
    <n v="26124"/>
    <n v="661"/>
    <n v="739"/>
    <n v="1389"/>
    <x v="1"/>
    <n v="523939"/>
    <n v="19305636"/>
    <n v="1513733"/>
    <x v="1"/>
    <n v="7.8408864644500698E-2"/>
  </r>
  <r>
    <x v="52"/>
    <x v="1"/>
    <x v="2"/>
    <x v="2"/>
    <x v="5"/>
    <n v="23786"/>
    <n v="532"/>
    <n v="844"/>
    <n v="1412"/>
    <x v="1"/>
    <n v="1158449"/>
    <n v="20075384"/>
    <n v="6262783"/>
    <x v="1"/>
    <n v="0.31196329793741401"/>
  </r>
  <r>
    <x v="53"/>
    <x v="4"/>
    <x v="1"/>
    <x v="2"/>
    <x v="5"/>
    <n v="9934"/>
    <n v="637"/>
    <n v="812"/>
    <n v="1358"/>
    <x v="1"/>
    <n v="329592"/>
    <n v="8066408"/>
    <n v="1408858"/>
    <x v="1"/>
    <n v="0.17465741876681701"/>
  </r>
  <r>
    <x v="12"/>
    <x v="3"/>
    <x v="1"/>
    <x v="2"/>
    <x v="5"/>
    <n v="27381"/>
    <n v="595"/>
    <n v="673"/>
    <n v="1454"/>
    <x v="1"/>
    <n v="935132"/>
    <n v="18427413"/>
    <n v="1200586"/>
    <x v="1"/>
    <n v="6.5152173015278897E-2"/>
  </r>
  <r>
    <x v="54"/>
    <x v="1"/>
    <x v="0"/>
    <x v="1"/>
    <x v="2"/>
    <n v="24946"/>
    <n v="550"/>
    <n v="511"/>
    <n v="1391"/>
    <x v="1"/>
    <n v="766432"/>
    <n v="12747406"/>
    <n v="-1739326"/>
    <x v="0"/>
    <n v="-0.13644548545798299"/>
  </r>
  <r>
    <x v="55"/>
    <x v="2"/>
    <x v="0"/>
    <x v="2"/>
    <x v="4"/>
    <n v="31746"/>
    <n v="531"/>
    <n v="556"/>
    <n v="1422"/>
    <x v="1"/>
    <n v="876149"/>
    <n v="17650776"/>
    <n v="-82499"/>
    <x v="0"/>
    <n v="-4.6739588106494596E-3"/>
  </r>
  <r>
    <x v="44"/>
    <x v="1"/>
    <x v="2"/>
    <x v="1"/>
    <x v="3"/>
    <n v="29491"/>
    <n v="484"/>
    <n v="499"/>
    <n v="1391"/>
    <x v="1"/>
    <n v="417220"/>
    <n v="14716009"/>
    <n v="25145"/>
    <x v="1"/>
    <n v="1.7086833801202501E-3"/>
  </r>
  <r>
    <x v="56"/>
    <x v="5"/>
    <x v="2"/>
    <x v="1"/>
    <x v="2"/>
    <n v="23171"/>
    <n v="582"/>
    <n v="665"/>
    <n v="1389"/>
    <x v="1"/>
    <n v="539498"/>
    <n v="15408715"/>
    <n v="1383695"/>
    <x v="1"/>
    <n v="8.9799506318339994E-2"/>
  </r>
  <r>
    <x v="57"/>
    <x v="2"/>
    <x v="1"/>
    <x v="0"/>
    <x v="0"/>
    <n v="36211"/>
    <n v="653"/>
    <n v="713"/>
    <n v="1422"/>
    <x v="1"/>
    <n v="516282"/>
    <n v="25818443"/>
    <n v="1656378"/>
    <x v="1"/>
    <n v="6.4154836912512503E-2"/>
  </r>
  <r>
    <x v="38"/>
    <x v="3"/>
    <x v="0"/>
    <x v="0"/>
    <x v="0"/>
    <n v="12075"/>
    <n v="634"/>
    <n v="679"/>
    <n v="1401"/>
    <x v="1"/>
    <n v="540981"/>
    <n v="8198925"/>
    <n v="2394"/>
    <x v="1"/>
    <n v="2.9198949862329498E-4"/>
  </r>
  <r>
    <x v="58"/>
    <x v="2"/>
    <x v="0"/>
    <x v="2"/>
    <x v="5"/>
    <n v="22251"/>
    <n v="567"/>
    <n v="839"/>
    <n v="1291"/>
    <x v="0"/>
    <n v="675528"/>
    <n v="18668589"/>
    <n v="5376744"/>
    <x v="1"/>
    <n v="0.28801019723558102"/>
  </r>
  <r>
    <x v="59"/>
    <x v="0"/>
    <x v="1"/>
    <x v="2"/>
    <x v="4"/>
    <n v="21704"/>
    <n v="626"/>
    <n v="643"/>
    <n v="1498"/>
    <x v="1"/>
    <n v="675852"/>
    <n v="13955672"/>
    <n v="-306884"/>
    <x v="0"/>
    <n v="-2.1989912058695601E-2"/>
  </r>
  <r>
    <x v="60"/>
    <x v="5"/>
    <x v="2"/>
    <x v="2"/>
    <x v="5"/>
    <n v="23786"/>
    <n v="579"/>
    <n v="473"/>
    <n v="1389"/>
    <x v="1"/>
    <n v="732060"/>
    <n v="11250778"/>
    <n v="-3253376"/>
    <x v="0"/>
    <n v="-0.28916898013630699"/>
  </r>
  <r>
    <x v="61"/>
    <x v="4"/>
    <x v="0"/>
    <x v="1"/>
    <x v="2"/>
    <n v="41455"/>
    <n v="592"/>
    <n v="695"/>
    <n v="1400"/>
    <x v="1"/>
    <n v="480439"/>
    <n v="28811225"/>
    <n v="3789426"/>
    <x v="1"/>
    <n v="0.13152602848368999"/>
  </r>
  <r>
    <x v="29"/>
    <x v="0"/>
    <x v="1"/>
    <x v="2"/>
    <x v="5"/>
    <n v="5400"/>
    <n v="590"/>
    <n v="681"/>
    <n v="1286"/>
    <x v="0"/>
    <n v="675682"/>
    <n v="3677400"/>
    <n v="-184282"/>
    <x v="0"/>
    <n v="-5.0112035677380803E-2"/>
  </r>
  <r>
    <x v="62"/>
    <x v="3"/>
    <x v="1"/>
    <x v="1"/>
    <x v="3"/>
    <n v="8447"/>
    <n v="646"/>
    <n v="748"/>
    <n v="1443"/>
    <x v="1"/>
    <n v="991615"/>
    <n v="6318356"/>
    <n v="-130021"/>
    <x v="0"/>
    <n v="-2.0578295999782201E-2"/>
  </r>
  <r>
    <x v="24"/>
    <x v="0"/>
    <x v="1"/>
    <x v="1"/>
    <x v="2"/>
    <n v="39533"/>
    <n v="486"/>
    <n v="497"/>
    <n v="1506"/>
    <x v="1"/>
    <n v="544061"/>
    <n v="19647901"/>
    <n v="-109198"/>
    <x v="0"/>
    <n v="-5.5577438017424896E-3"/>
  </r>
  <r>
    <x v="63"/>
    <x v="1"/>
    <x v="1"/>
    <x v="2"/>
    <x v="5"/>
    <n v="27381"/>
    <n v="602"/>
    <n v="707"/>
    <n v="1497"/>
    <x v="1"/>
    <n v="219651"/>
    <n v="19358367"/>
    <n v="2655354"/>
    <x v="1"/>
    <n v="0.13716828490750299"/>
  </r>
  <r>
    <x v="64"/>
    <x v="3"/>
    <x v="1"/>
    <x v="2"/>
    <x v="5"/>
    <n v="32373"/>
    <n v="542"/>
    <n v="728"/>
    <n v="1235"/>
    <x v="0"/>
    <n v="817476"/>
    <n v="23567544"/>
    <n v="5203902"/>
    <x v="1"/>
    <n v="0.22080798915661301"/>
  </r>
  <r>
    <x v="31"/>
    <x v="0"/>
    <x v="0"/>
    <x v="0"/>
    <x v="1"/>
    <n v="19520"/>
    <n v="601"/>
    <n v="679"/>
    <n v="1405"/>
    <x v="1"/>
    <n v="1054628"/>
    <n v="13254080"/>
    <n v="467932"/>
    <x v="1"/>
    <n v="3.5304751442574701E-2"/>
  </r>
  <r>
    <x v="65"/>
    <x v="1"/>
    <x v="2"/>
    <x v="0"/>
    <x v="1"/>
    <n v="22232"/>
    <n v="532"/>
    <n v="672"/>
    <n v="1391"/>
    <x v="1"/>
    <n v="854858"/>
    <n v="14939904"/>
    <n v="2257622"/>
    <x v="1"/>
    <n v="0.151113554678798"/>
  </r>
  <r>
    <x v="66"/>
    <x v="2"/>
    <x v="0"/>
    <x v="1"/>
    <x v="2"/>
    <n v="24418"/>
    <n v="511"/>
    <n v="483"/>
    <n v="1223"/>
    <x v="0"/>
    <n v="280458"/>
    <n v="11793894"/>
    <n v="-964162"/>
    <x v="0"/>
    <n v="-8.1750946718700396E-2"/>
  </r>
  <r>
    <x v="67"/>
    <x v="2"/>
    <x v="0"/>
    <x v="2"/>
    <x v="5"/>
    <n v="22251"/>
    <n v="567"/>
    <n v="636"/>
    <n v="1524"/>
    <x v="1"/>
    <n v="743995"/>
    <n v="14151636"/>
    <n v="791324"/>
    <x v="1"/>
    <n v="5.5917492507579998E-2"/>
  </r>
  <r>
    <x v="68"/>
    <x v="0"/>
    <x v="0"/>
    <x v="0"/>
    <x v="0"/>
    <n v="24580"/>
    <n v="529"/>
    <n v="582"/>
    <n v="1516"/>
    <x v="1"/>
    <n v="697375"/>
    <n v="14305560"/>
    <n v="605365"/>
    <x v="1"/>
    <n v="4.2316763552073498E-2"/>
  </r>
  <r>
    <x v="69"/>
    <x v="0"/>
    <x v="0"/>
    <x v="1"/>
    <x v="3"/>
    <n v="24906"/>
    <n v="695"/>
    <n v="764"/>
    <n v="1252"/>
    <x v="0"/>
    <n v="786072"/>
    <n v="19028184"/>
    <n v="932442"/>
    <x v="1"/>
    <n v="4.9003204930118401E-2"/>
  </r>
  <r>
    <x v="60"/>
    <x v="5"/>
    <x v="0"/>
    <x v="1"/>
    <x v="2"/>
    <n v="38324"/>
    <n v="425"/>
    <n v="473"/>
    <n v="1291"/>
    <x v="0"/>
    <n v="510160"/>
    <n v="18127252"/>
    <n v="1329392"/>
    <x v="1"/>
    <n v="7.3336653564478493E-2"/>
  </r>
  <r>
    <x v="40"/>
    <x v="5"/>
    <x v="0"/>
    <x v="2"/>
    <x v="4"/>
    <n v="44141"/>
    <n v="563"/>
    <n v="664"/>
    <n v="1218"/>
    <x v="0"/>
    <n v="909217"/>
    <n v="29309624"/>
    <n v="3549024"/>
    <x v="1"/>
    <n v="0.12108732612878299"/>
  </r>
  <r>
    <x v="70"/>
    <x v="2"/>
    <x v="1"/>
    <x v="2"/>
    <x v="5"/>
    <n v="20674"/>
    <n v="710"/>
    <n v="876"/>
    <n v="1313"/>
    <x v="1"/>
    <n v="753081"/>
    <n v="18110424"/>
    <n v="2678803"/>
    <x v="1"/>
    <n v="0.14791497979285301"/>
  </r>
  <r>
    <x v="69"/>
    <x v="0"/>
    <x v="2"/>
    <x v="0"/>
    <x v="0"/>
    <n v="24703"/>
    <n v="540"/>
    <n v="833"/>
    <n v="1264"/>
    <x v="0"/>
    <n v="1149282"/>
    <n v="20577599"/>
    <n v="6088697"/>
    <x v="1"/>
    <n v="0.29588957390024001"/>
  </r>
  <r>
    <x v="71"/>
    <x v="2"/>
    <x v="1"/>
    <x v="0"/>
    <x v="0"/>
    <n v="6747"/>
    <n v="532"/>
    <n v="652"/>
    <n v="1422"/>
    <x v="1"/>
    <n v="881533"/>
    <n v="4399044"/>
    <n v="-71893"/>
    <x v="0"/>
    <n v="-1.6342869041546301E-2"/>
  </r>
  <r>
    <x v="72"/>
    <x v="3"/>
    <x v="2"/>
    <x v="0"/>
    <x v="1"/>
    <n v="22232"/>
    <n v="444"/>
    <n v="517"/>
    <n v="1315"/>
    <x v="1"/>
    <n v="327767"/>
    <n v="11493944"/>
    <n v="1295169"/>
    <x v="1"/>
    <n v="0.11268273101034799"/>
  </r>
  <r>
    <x v="73"/>
    <x v="4"/>
    <x v="1"/>
    <x v="2"/>
    <x v="5"/>
    <n v="27381"/>
    <n v="425"/>
    <n v="514"/>
    <n v="1296"/>
    <x v="0"/>
    <n v="743995"/>
    <n v="14073834"/>
    <n v="1692914"/>
    <x v="1"/>
    <n v="0.120288046597679"/>
  </r>
  <r>
    <x v="74"/>
    <x v="4"/>
    <x v="2"/>
    <x v="2"/>
    <x v="5"/>
    <n v="30588"/>
    <n v="714"/>
    <n v="806"/>
    <n v="1400"/>
    <x v="1"/>
    <n v="743995"/>
    <n v="24653928"/>
    <n v="2070101"/>
    <x v="1"/>
    <n v="8.3966376473558299E-2"/>
  </r>
  <r>
    <x v="75"/>
    <x v="4"/>
    <x v="0"/>
    <x v="1"/>
    <x v="2"/>
    <n v="24418"/>
    <n v="654"/>
    <n v="772"/>
    <n v="1225"/>
    <x v="0"/>
    <n v="238780"/>
    <n v="18850696"/>
    <n v="2642544"/>
    <x v="1"/>
    <n v="0.14018283462849301"/>
  </r>
  <r>
    <x v="59"/>
    <x v="0"/>
    <x v="2"/>
    <x v="0"/>
    <x v="0"/>
    <n v="24703"/>
    <n v="540"/>
    <n v="536"/>
    <n v="1405"/>
    <x v="1"/>
    <n v="548048"/>
    <n v="13240808"/>
    <n v="-646860"/>
    <x v="0"/>
    <n v="-4.8853514075575998E-2"/>
  </r>
  <r>
    <x v="66"/>
    <x v="2"/>
    <x v="1"/>
    <x v="1"/>
    <x v="3"/>
    <n v="17243"/>
    <n v="582"/>
    <n v="678"/>
    <n v="1422"/>
    <x v="1"/>
    <n v="649484"/>
    <n v="11690754"/>
    <n v="1005844"/>
    <x v="1"/>
    <n v="8.6037564386351795E-2"/>
  </r>
  <r>
    <x v="76"/>
    <x v="4"/>
    <x v="1"/>
    <x v="1"/>
    <x v="2"/>
    <n v="25086"/>
    <n v="576"/>
    <n v="650"/>
    <n v="1548"/>
    <x v="1"/>
    <n v="656068"/>
    <n v="16305900"/>
    <n v="1200296"/>
    <x v="1"/>
    <n v="7.3611146885483203E-2"/>
  </r>
  <r>
    <x v="60"/>
    <x v="5"/>
    <x v="0"/>
    <x v="0"/>
    <x v="0"/>
    <n v="24580"/>
    <n v="624"/>
    <n v="755"/>
    <n v="1389"/>
    <x v="1"/>
    <n v="579742"/>
    <n v="18557900"/>
    <n v="2640238"/>
    <x v="1"/>
    <n v="0.14227029998006199"/>
  </r>
  <r>
    <x v="23"/>
    <x v="5"/>
    <x v="0"/>
    <x v="0"/>
    <x v="0"/>
    <n v="29380"/>
    <n v="563"/>
    <n v="615"/>
    <n v="1460"/>
    <x v="1"/>
    <n v="227172"/>
    <n v="18068700"/>
    <n v="1300588"/>
    <x v="1"/>
    <n v="7.1980164594021706E-2"/>
  </r>
  <r>
    <x v="77"/>
    <x v="3"/>
    <x v="1"/>
    <x v="2"/>
    <x v="5"/>
    <n v="27381"/>
    <n v="719"/>
    <n v="805"/>
    <n v="1541"/>
    <x v="1"/>
    <n v="743995"/>
    <n v="22041705"/>
    <n v="1610771"/>
    <x v="1"/>
    <n v="7.3078330374170206E-2"/>
  </r>
  <r>
    <x v="78"/>
    <x v="5"/>
    <x v="1"/>
    <x v="0"/>
    <x v="1"/>
    <n v="21280"/>
    <n v="507"/>
    <n v="595"/>
    <n v="1517"/>
    <x v="1"/>
    <n v="410743"/>
    <n v="12661600"/>
    <n v="1461897"/>
    <x v="1"/>
    <n v="0.115459104694509"/>
  </r>
  <r>
    <x v="79"/>
    <x v="2"/>
    <x v="2"/>
    <x v="1"/>
    <x v="2"/>
    <n v="35631"/>
    <n v="446"/>
    <n v="773"/>
    <n v="1422"/>
    <x v="1"/>
    <n v="331414"/>
    <n v="27542763"/>
    <n v="11319923"/>
    <x v="1"/>
    <n v="0.41099445977878102"/>
  </r>
  <r>
    <x v="33"/>
    <x v="2"/>
    <x v="0"/>
    <x v="0"/>
    <x v="1"/>
    <n v="23880"/>
    <n v="596"/>
    <n v="654"/>
    <n v="1407"/>
    <x v="1"/>
    <n v="369834"/>
    <n v="15617520"/>
    <n v="1015206"/>
    <x v="1"/>
    <n v="6.5004302859865096E-2"/>
  </r>
  <r>
    <x v="80"/>
    <x v="3"/>
    <x v="0"/>
    <x v="0"/>
    <x v="1"/>
    <n v="10168"/>
    <n v="611"/>
    <n v="689"/>
    <n v="1401"/>
    <x v="1"/>
    <n v="680425"/>
    <n v="7005752"/>
    <n v="112679"/>
    <x v="1"/>
    <n v="1.6083783725144699E-2"/>
  </r>
  <r>
    <x v="81"/>
    <x v="3"/>
    <x v="0"/>
    <x v="2"/>
    <x v="5"/>
    <n v="6859"/>
    <n v="651"/>
    <n v="795"/>
    <n v="1401"/>
    <x v="1"/>
    <n v="743995"/>
    <n v="5452905"/>
    <n v="243701"/>
    <x v="1"/>
    <n v="4.4691957772966903E-2"/>
  </r>
  <r>
    <x v="11"/>
    <x v="5"/>
    <x v="1"/>
    <x v="1"/>
    <x v="2"/>
    <n v="24492"/>
    <n v="467"/>
    <n v="531"/>
    <n v="1389"/>
    <x v="1"/>
    <n v="562147"/>
    <n v="13005252"/>
    <n v="1005341"/>
    <x v="1"/>
    <n v="7.7302692789036301E-2"/>
  </r>
  <r>
    <x v="82"/>
    <x v="0"/>
    <x v="2"/>
    <x v="1"/>
    <x v="2"/>
    <n v="13029"/>
    <n v="555"/>
    <n v="623"/>
    <n v="1299"/>
    <x v="0"/>
    <n v="642323"/>
    <n v="8117067"/>
    <n v="243649"/>
    <x v="1"/>
    <n v="3.0016876785666599E-2"/>
  </r>
  <r>
    <x v="83"/>
    <x v="1"/>
    <x v="0"/>
    <x v="1"/>
    <x v="2"/>
    <n v="35593"/>
    <n v="684"/>
    <n v="798"/>
    <n v="1286"/>
    <x v="0"/>
    <n v="642323"/>
    <n v="28403214"/>
    <n v="3415279"/>
    <x v="1"/>
    <n v="0.12024269506965"/>
  </r>
  <r>
    <x v="84"/>
    <x v="0"/>
    <x v="0"/>
    <x v="2"/>
    <x v="5"/>
    <n v="12044"/>
    <n v="638"/>
    <n v="689"/>
    <n v="1315"/>
    <x v="1"/>
    <n v="743995"/>
    <n v="8298316"/>
    <n v="-129751"/>
    <x v="0"/>
    <n v="-1.56358229790237E-2"/>
  </r>
  <r>
    <x v="85"/>
    <x v="1"/>
    <x v="1"/>
    <x v="2"/>
    <x v="4"/>
    <n v="29457"/>
    <n v="587"/>
    <n v="619"/>
    <n v="1255"/>
    <x v="0"/>
    <n v="675852"/>
    <n v="18233883"/>
    <n v="266772"/>
    <x v="1"/>
    <n v="1.46305644277744E-2"/>
  </r>
  <r>
    <x v="86"/>
    <x v="0"/>
    <x v="1"/>
    <x v="0"/>
    <x v="0"/>
    <n v="19983"/>
    <n v="510"/>
    <n v="679"/>
    <n v="1484"/>
    <x v="1"/>
    <n v="697375"/>
    <n v="13568457"/>
    <n v="2679752"/>
    <x v="1"/>
    <n v="0.1974986544159"/>
  </r>
  <r>
    <x v="50"/>
    <x v="5"/>
    <x v="2"/>
    <x v="1"/>
    <x v="3"/>
    <n v="36102"/>
    <n v="579"/>
    <n v="651"/>
    <n v="1389"/>
    <x v="1"/>
    <n v="849840"/>
    <n v="23502402"/>
    <n v="1749504"/>
    <x v="1"/>
    <n v="7.4439370069493305E-2"/>
  </r>
  <r>
    <x v="87"/>
    <x v="4"/>
    <x v="2"/>
    <x v="2"/>
    <x v="4"/>
    <n v="6241"/>
    <n v="656"/>
    <n v="542"/>
    <n v="1549"/>
    <x v="1"/>
    <n v="675852"/>
    <n v="3382622"/>
    <n v="-1387326"/>
    <x v="0"/>
    <n v="-0.41013332261186702"/>
  </r>
  <r>
    <x v="40"/>
    <x v="5"/>
    <x v="2"/>
    <x v="2"/>
    <x v="5"/>
    <n v="29695"/>
    <n v="579"/>
    <n v="604"/>
    <n v="1389"/>
    <x v="1"/>
    <n v="743995"/>
    <n v="17935780"/>
    <n v="-1620"/>
    <x v="0"/>
    <n v="-9.03222497153734E-5"/>
  </r>
  <r>
    <x v="88"/>
    <x v="1"/>
    <x v="1"/>
    <x v="2"/>
    <x v="5"/>
    <n v="41574"/>
    <n v="712"/>
    <n v="767"/>
    <n v="1391"/>
    <x v="1"/>
    <n v="486741"/>
    <n v="31887258"/>
    <n v="1799829"/>
    <x v="1"/>
    <n v="5.6443517344765097E-2"/>
  </r>
  <r>
    <x v="89"/>
    <x v="2"/>
    <x v="0"/>
    <x v="2"/>
    <x v="5"/>
    <n v="14599"/>
    <n v="634"/>
    <n v="745"/>
    <n v="1531"/>
    <x v="1"/>
    <n v="743995"/>
    <n v="10876255"/>
    <n v="876494"/>
    <x v="1"/>
    <n v="8.0587849402206896E-2"/>
  </r>
  <r>
    <x v="90"/>
    <x v="5"/>
    <x v="1"/>
    <x v="0"/>
    <x v="0"/>
    <n v="19983"/>
    <n v="692"/>
    <n v="636"/>
    <n v="1240"/>
    <x v="0"/>
    <n v="777086"/>
    <n v="12709188"/>
    <n v="-1896134"/>
    <x v="0"/>
    <n v="-0.14919395322502099"/>
  </r>
  <r>
    <x v="38"/>
    <x v="3"/>
    <x v="1"/>
    <x v="2"/>
    <x v="5"/>
    <n v="26048"/>
    <n v="614"/>
    <n v="696"/>
    <n v="1565"/>
    <x v="1"/>
    <n v="1179288"/>
    <n v="18129408"/>
    <n v="956648"/>
    <x v="1"/>
    <n v="5.2767746194470298E-2"/>
  </r>
  <r>
    <x v="91"/>
    <x v="0"/>
    <x v="1"/>
    <x v="1"/>
    <x v="2"/>
    <n v="21373"/>
    <n v="698"/>
    <n v="895"/>
    <n v="1405"/>
    <x v="1"/>
    <n v="690755"/>
    <n v="19128835"/>
    <n v="3519726"/>
    <x v="1"/>
    <n v="0.184001064361735"/>
  </r>
  <r>
    <x v="20"/>
    <x v="2"/>
    <x v="2"/>
    <x v="1"/>
    <x v="2"/>
    <n v="22371"/>
    <n v="591"/>
    <n v="754"/>
    <n v="1456"/>
    <x v="1"/>
    <n v="642323"/>
    <n v="16867734"/>
    <n v="3004150"/>
    <x v="1"/>
    <n v="0.178100389773754"/>
  </r>
  <r>
    <x v="60"/>
    <x v="5"/>
    <x v="1"/>
    <x v="0"/>
    <x v="1"/>
    <n v="14215"/>
    <n v="494"/>
    <n v="651"/>
    <n v="1389"/>
    <x v="1"/>
    <n v="211991"/>
    <n v="9253965"/>
    <n v="2019764"/>
    <x v="1"/>
    <n v="0.218259308307304"/>
  </r>
  <r>
    <x v="8"/>
    <x v="4"/>
    <x v="0"/>
    <x v="1"/>
    <x v="2"/>
    <n v="35500"/>
    <n v="604"/>
    <n v="676"/>
    <n v="1576"/>
    <x v="1"/>
    <n v="844481"/>
    <n v="23998000"/>
    <n v="1711519"/>
    <x v="1"/>
    <n v="7.1319234936244702E-2"/>
  </r>
  <r>
    <x v="58"/>
    <x v="2"/>
    <x v="2"/>
    <x v="1"/>
    <x v="2"/>
    <n v="40994"/>
    <n v="647"/>
    <n v="741"/>
    <n v="1411"/>
    <x v="1"/>
    <n v="642323"/>
    <n v="30376554"/>
    <n v="3211113"/>
    <x v="1"/>
    <n v="0.105710246132593"/>
  </r>
  <r>
    <x v="64"/>
    <x v="3"/>
    <x v="2"/>
    <x v="0"/>
    <x v="0"/>
    <n v="24703"/>
    <n v="563"/>
    <n v="598"/>
    <n v="1560"/>
    <x v="1"/>
    <n v="697375"/>
    <n v="14772394"/>
    <n v="167230"/>
    <x v="1"/>
    <n v="1.1320440004511099E-2"/>
  </r>
  <r>
    <x v="77"/>
    <x v="3"/>
    <x v="1"/>
    <x v="1"/>
    <x v="2"/>
    <n v="6426"/>
    <n v="496"/>
    <n v="470"/>
    <n v="1480"/>
    <x v="1"/>
    <n v="1179981"/>
    <n v="3020220"/>
    <n v="-1347057"/>
    <x v="0"/>
    <n v="-0.44601287323439998"/>
  </r>
  <r>
    <x v="92"/>
    <x v="2"/>
    <x v="1"/>
    <x v="0"/>
    <x v="1"/>
    <n v="32548"/>
    <n v="535"/>
    <n v="586"/>
    <n v="1461"/>
    <x v="1"/>
    <n v="680425"/>
    <n v="19073128"/>
    <n v="979523"/>
    <x v="1"/>
    <n v="5.1356180276250399E-2"/>
  </r>
  <r>
    <x v="93"/>
    <x v="4"/>
    <x v="2"/>
    <x v="2"/>
    <x v="4"/>
    <n v="21285"/>
    <n v="547"/>
    <n v="561"/>
    <n v="1400"/>
    <x v="1"/>
    <n v="1002674"/>
    <n v="11940885"/>
    <n v="-704684"/>
    <x v="0"/>
    <n v="-5.9014386287113599E-2"/>
  </r>
  <r>
    <x v="94"/>
    <x v="0"/>
    <x v="0"/>
    <x v="1"/>
    <x v="2"/>
    <n v="24418"/>
    <n v="601"/>
    <n v="658"/>
    <n v="1496"/>
    <x v="1"/>
    <n v="765979"/>
    <n v="16067044"/>
    <n v="625847"/>
    <x v="1"/>
    <n v="3.8952217968656798E-2"/>
  </r>
  <r>
    <x v="36"/>
    <x v="0"/>
    <x v="2"/>
    <x v="2"/>
    <x v="5"/>
    <n v="23786"/>
    <n v="666"/>
    <n v="685"/>
    <n v="1405"/>
    <x v="1"/>
    <n v="1122446"/>
    <n v="16293410"/>
    <n v="-670512"/>
    <x v="0"/>
    <n v="-4.1152343186601201E-2"/>
  </r>
  <r>
    <x v="95"/>
    <x v="3"/>
    <x v="0"/>
    <x v="2"/>
    <x v="5"/>
    <n v="22251"/>
    <n v="656"/>
    <n v="634"/>
    <n v="1502"/>
    <x v="1"/>
    <n v="452673"/>
    <n v="14107134"/>
    <n v="-942195"/>
    <x v="0"/>
    <n v="-6.6788548262177103E-2"/>
  </r>
  <r>
    <x v="67"/>
    <x v="2"/>
    <x v="1"/>
    <x v="2"/>
    <x v="4"/>
    <n v="32045"/>
    <n v="587"/>
    <n v="625"/>
    <n v="1569"/>
    <x v="1"/>
    <n v="761654"/>
    <n v="20028125"/>
    <n v="456056"/>
    <x v="1"/>
    <n v="2.27707785926042E-2"/>
  </r>
  <r>
    <x v="96"/>
    <x v="5"/>
    <x v="2"/>
    <x v="1"/>
    <x v="3"/>
    <n v="29491"/>
    <n v="588"/>
    <n v="858"/>
    <n v="1583"/>
    <x v="1"/>
    <n v="649484"/>
    <n v="25303278"/>
    <n v="7313086"/>
    <x v="1"/>
    <n v="0.28901733601472501"/>
  </r>
  <r>
    <x v="89"/>
    <x v="2"/>
    <x v="1"/>
    <x v="0"/>
    <x v="0"/>
    <n v="26077"/>
    <n v="580"/>
    <n v="612"/>
    <n v="1422"/>
    <x v="1"/>
    <n v="998625"/>
    <n v="15959124"/>
    <n v="-164161"/>
    <x v="0"/>
    <n v="-1.0286341531026401E-2"/>
  </r>
  <r>
    <x v="43"/>
    <x v="2"/>
    <x v="2"/>
    <x v="1"/>
    <x v="3"/>
    <n v="29491"/>
    <n v="591"/>
    <n v="711"/>
    <n v="1318"/>
    <x v="1"/>
    <n v="598290"/>
    <n v="20968101"/>
    <n v="2940630"/>
    <x v="1"/>
    <n v="0.140243029161296"/>
  </r>
  <r>
    <x v="97"/>
    <x v="0"/>
    <x v="1"/>
    <x v="2"/>
    <x v="5"/>
    <n v="37151"/>
    <n v="640"/>
    <n v="729"/>
    <n v="1410"/>
    <x v="1"/>
    <n v="743995"/>
    <n v="27083079"/>
    <n v="2562444"/>
    <x v="1"/>
    <n v="9.4614205423246001E-2"/>
  </r>
  <r>
    <x v="54"/>
    <x v="1"/>
    <x v="2"/>
    <x v="0"/>
    <x v="1"/>
    <n v="9454"/>
    <n v="486"/>
    <n v="750"/>
    <n v="1391"/>
    <x v="1"/>
    <n v="778440"/>
    <n v="7090500"/>
    <n v="1717416"/>
    <x v="1"/>
    <n v="0.24221366617304799"/>
  </r>
  <r>
    <x v="7"/>
    <x v="3"/>
    <x v="2"/>
    <x v="2"/>
    <x v="5"/>
    <n v="23786"/>
    <n v="622"/>
    <n v="644"/>
    <n v="1448"/>
    <x v="1"/>
    <n v="571658"/>
    <n v="15318184"/>
    <n v="-48366"/>
    <x v="0"/>
    <n v="-3.1574238826221198E-3"/>
  </r>
  <r>
    <x v="98"/>
    <x v="2"/>
    <x v="1"/>
    <x v="0"/>
    <x v="1"/>
    <n v="21280"/>
    <n v="488"/>
    <n v="570"/>
    <n v="1422"/>
    <x v="1"/>
    <n v="680425"/>
    <n v="12129600"/>
    <n v="1064535"/>
    <x v="1"/>
    <n v="8.7763405223585306E-2"/>
  </r>
  <r>
    <x v="99"/>
    <x v="4"/>
    <x v="2"/>
    <x v="2"/>
    <x v="4"/>
    <n v="21285"/>
    <n v="656"/>
    <n v="686"/>
    <n v="1400"/>
    <x v="1"/>
    <n v="698598"/>
    <n v="14601510"/>
    <n v="-60048"/>
    <x v="0"/>
    <n v="-4.1124513834528099E-3"/>
  </r>
  <r>
    <x v="100"/>
    <x v="3"/>
    <x v="2"/>
    <x v="2"/>
    <x v="5"/>
    <n v="16754"/>
    <n v="563"/>
    <n v="598"/>
    <n v="1401"/>
    <x v="1"/>
    <n v="1090704"/>
    <n v="10018892"/>
    <n v="-504314"/>
    <x v="0"/>
    <n v="-5.0336304653249099E-2"/>
  </r>
  <r>
    <x v="101"/>
    <x v="2"/>
    <x v="0"/>
    <x v="2"/>
    <x v="5"/>
    <n v="22251"/>
    <n v="436"/>
    <n v="484"/>
    <n v="1422"/>
    <x v="1"/>
    <n v="1021609"/>
    <n v="10769484"/>
    <n v="46439"/>
    <x v="1"/>
    <n v="4.3120914613922097E-3"/>
  </r>
  <r>
    <x v="102"/>
    <x v="3"/>
    <x v="1"/>
    <x v="0"/>
    <x v="1"/>
    <n v="21280"/>
    <n v="595"/>
    <n v="673"/>
    <n v="1485"/>
    <x v="1"/>
    <n v="680425"/>
    <n v="14321440"/>
    <n v="979415"/>
    <x v="1"/>
    <n v="6.8388025226513494E-2"/>
  </r>
  <r>
    <x v="82"/>
    <x v="0"/>
    <x v="2"/>
    <x v="2"/>
    <x v="5"/>
    <n v="11982"/>
    <n v="553"/>
    <n v="489"/>
    <n v="1422"/>
    <x v="1"/>
    <n v="308310"/>
    <n v="5859198"/>
    <n v="-1075158"/>
    <x v="0"/>
    <n v="-0.183499175143083"/>
  </r>
  <r>
    <x v="56"/>
    <x v="5"/>
    <x v="1"/>
    <x v="2"/>
    <x v="4"/>
    <n v="5808"/>
    <n v="574"/>
    <n v="631"/>
    <n v="1268"/>
    <x v="0"/>
    <n v="345584"/>
    <n v="3664848"/>
    <n v="-14528"/>
    <x v="0"/>
    <n v="-3.9641480356074803E-3"/>
  </r>
  <r>
    <x v="103"/>
    <x v="1"/>
    <x v="1"/>
    <x v="1"/>
    <x v="3"/>
    <n v="33486"/>
    <n v="546"/>
    <n v="875"/>
    <n v="1438"/>
    <x v="1"/>
    <n v="342071"/>
    <n v="29300250"/>
    <n v="10674823"/>
    <x v="1"/>
    <n v="0.36432532145630198"/>
  </r>
  <r>
    <x v="104"/>
    <x v="0"/>
    <x v="1"/>
    <x v="1"/>
    <x v="3"/>
    <n v="25354"/>
    <n v="461"/>
    <n v="763"/>
    <n v="1586"/>
    <x v="1"/>
    <n v="649484"/>
    <n v="19345102"/>
    <n v="7007424"/>
    <x v="1"/>
    <n v="0.36223246587172298"/>
  </r>
  <r>
    <x v="86"/>
    <x v="0"/>
    <x v="0"/>
    <x v="1"/>
    <x v="2"/>
    <n v="30751"/>
    <n v="601"/>
    <n v="658"/>
    <n v="1405"/>
    <x v="1"/>
    <n v="642323"/>
    <n v="20234158"/>
    <n v="1110484"/>
    <x v="1"/>
    <n v="5.48816511168886E-2"/>
  </r>
  <r>
    <x v="105"/>
    <x v="5"/>
    <x v="2"/>
    <x v="1"/>
    <x v="3"/>
    <n v="31813"/>
    <n v="579"/>
    <n v="519"/>
    <n v="1389"/>
    <x v="1"/>
    <n v="810527"/>
    <n v="16510947"/>
    <n v="-2719307"/>
    <x v="0"/>
    <n v="-0.16469721573208401"/>
  </r>
  <r>
    <x v="100"/>
    <x v="3"/>
    <x v="0"/>
    <x v="2"/>
    <x v="5"/>
    <n v="22251"/>
    <n v="611"/>
    <n v="694"/>
    <n v="1401"/>
    <x v="1"/>
    <n v="989245"/>
    <n v="15442194"/>
    <n v="857588"/>
    <x v="1"/>
    <n v="5.5535372758560103E-2"/>
  </r>
  <r>
    <x v="106"/>
    <x v="4"/>
    <x v="1"/>
    <x v="0"/>
    <x v="0"/>
    <n v="19983"/>
    <n v="576"/>
    <n v="549"/>
    <n v="1400"/>
    <x v="1"/>
    <n v="923975"/>
    <n v="10970667"/>
    <n v="-1463516"/>
    <x v="0"/>
    <n v="-0.13340264543623501"/>
  </r>
  <r>
    <x v="107"/>
    <x v="4"/>
    <x v="1"/>
    <x v="0"/>
    <x v="1"/>
    <n v="32261"/>
    <n v="639"/>
    <n v="683"/>
    <n v="1408"/>
    <x v="1"/>
    <n v="680425"/>
    <n v="22034263"/>
    <n v="739059"/>
    <x v="1"/>
    <n v="3.3541353300539298E-2"/>
  </r>
  <r>
    <x v="108"/>
    <x v="0"/>
    <x v="1"/>
    <x v="1"/>
    <x v="2"/>
    <n v="6480"/>
    <n v="614"/>
    <n v="727"/>
    <n v="1332"/>
    <x v="1"/>
    <n v="443118"/>
    <n v="4710960"/>
    <n v="289122"/>
    <x v="1"/>
    <n v="6.1372204391461599E-2"/>
  </r>
  <r>
    <x v="109"/>
    <x v="5"/>
    <x v="0"/>
    <x v="0"/>
    <x v="0"/>
    <n v="24580"/>
    <n v="563"/>
    <n v="664"/>
    <n v="1389"/>
    <x v="1"/>
    <n v="1048014"/>
    <n v="16321120"/>
    <n v="1434566"/>
    <x v="1"/>
    <n v="8.7896296332604595E-2"/>
  </r>
  <r>
    <x v="22"/>
    <x v="2"/>
    <x v="0"/>
    <x v="0"/>
    <x v="0"/>
    <n v="17915"/>
    <n v="567"/>
    <n v="885"/>
    <n v="1422"/>
    <x v="1"/>
    <n v="564825"/>
    <n v="15854775"/>
    <n v="5132145"/>
    <x v="1"/>
    <n v="0.32369711963745901"/>
  </r>
  <r>
    <x v="96"/>
    <x v="5"/>
    <x v="1"/>
    <x v="2"/>
    <x v="4"/>
    <n v="17892"/>
    <n v="455"/>
    <n v="478"/>
    <n v="1404"/>
    <x v="1"/>
    <n v="602349"/>
    <n v="8552376"/>
    <n v="-190833"/>
    <x v="0"/>
    <n v="-2.23134483329545E-2"/>
  </r>
  <r>
    <x v="95"/>
    <x v="3"/>
    <x v="2"/>
    <x v="1"/>
    <x v="2"/>
    <n v="37089"/>
    <n v="563"/>
    <n v="474"/>
    <n v="1581"/>
    <x v="1"/>
    <n v="642323"/>
    <n v="17580186"/>
    <n v="-3943244"/>
    <x v="0"/>
    <n v="-0.22430047099615399"/>
  </r>
  <r>
    <x v="92"/>
    <x v="2"/>
    <x v="0"/>
    <x v="2"/>
    <x v="5"/>
    <n v="34088"/>
    <n v="470"/>
    <n v="574"/>
    <n v="1422"/>
    <x v="1"/>
    <n v="1003124"/>
    <n v="19566512"/>
    <n v="2542028"/>
    <x v="1"/>
    <n v="0.12991727907355199"/>
  </r>
  <r>
    <x v="64"/>
    <x v="3"/>
    <x v="0"/>
    <x v="2"/>
    <x v="4"/>
    <n v="40593"/>
    <n v="596"/>
    <n v="691"/>
    <n v="1401"/>
    <x v="1"/>
    <n v="459555"/>
    <n v="28049763"/>
    <n v="3396780"/>
    <x v="1"/>
    <n v="0.12109834938712299"/>
  </r>
  <r>
    <x v="110"/>
    <x v="0"/>
    <x v="2"/>
    <x v="1"/>
    <x v="3"/>
    <n v="33774"/>
    <n v="540"/>
    <n v="608"/>
    <n v="1266"/>
    <x v="0"/>
    <n v="1053047"/>
    <n v="20534592"/>
    <n v="1243585"/>
    <x v="1"/>
    <n v="6.0560492265928599E-2"/>
  </r>
  <r>
    <x v="56"/>
    <x v="5"/>
    <x v="0"/>
    <x v="1"/>
    <x v="3"/>
    <n v="24178"/>
    <n v="563"/>
    <n v="664"/>
    <n v="1500"/>
    <x v="1"/>
    <n v="262165"/>
    <n v="16054192"/>
    <n v="2179813"/>
    <x v="1"/>
    <n v="0.13577843095435799"/>
  </r>
  <r>
    <x v="68"/>
    <x v="0"/>
    <x v="0"/>
    <x v="0"/>
    <x v="0"/>
    <n v="24580"/>
    <n v="601"/>
    <n v="571"/>
    <n v="1350"/>
    <x v="1"/>
    <n v="697375"/>
    <n v="14035180"/>
    <n v="-1434775"/>
    <x v="0"/>
    <n v="-0.102227046607169"/>
  </r>
  <r>
    <x v="58"/>
    <x v="2"/>
    <x v="1"/>
    <x v="2"/>
    <x v="5"/>
    <n v="26449"/>
    <n v="681"/>
    <n v="656"/>
    <n v="1518"/>
    <x v="1"/>
    <n v="428411"/>
    <n v="17350544"/>
    <n v="-1089636"/>
    <x v="0"/>
    <n v="-6.2801258565725604E-2"/>
  </r>
  <r>
    <x v="24"/>
    <x v="0"/>
    <x v="1"/>
    <x v="1"/>
    <x v="3"/>
    <n v="40868"/>
    <n v="566"/>
    <n v="674"/>
    <n v="1514"/>
    <x v="1"/>
    <n v="217072"/>
    <n v="27545032"/>
    <n v="4196672"/>
    <x v="1"/>
    <n v="0.15235676618564101"/>
  </r>
  <r>
    <x v="111"/>
    <x v="2"/>
    <x v="1"/>
    <x v="1"/>
    <x v="2"/>
    <n v="13645"/>
    <n v="682"/>
    <n v="563"/>
    <n v="1466"/>
    <x v="1"/>
    <n v="855993"/>
    <n v="7682135"/>
    <n v="-2479748"/>
    <x v="0"/>
    <n v="-0.32279411908278099"/>
  </r>
  <r>
    <x v="111"/>
    <x v="2"/>
    <x v="0"/>
    <x v="2"/>
    <x v="4"/>
    <n v="11237"/>
    <n v="563"/>
    <n v="630"/>
    <n v="1527"/>
    <x v="1"/>
    <n v="338595"/>
    <n v="7079310"/>
    <n v="414284"/>
    <x v="1"/>
    <n v="5.8520392524130202E-2"/>
  </r>
  <r>
    <x v="112"/>
    <x v="4"/>
    <x v="2"/>
    <x v="0"/>
    <x v="1"/>
    <n v="25535"/>
    <n v="684"/>
    <n v="765"/>
    <n v="1400"/>
    <x v="1"/>
    <n v="661477"/>
    <n v="19534275"/>
    <n v="1406858"/>
    <x v="1"/>
    <n v="7.2019975146249401E-2"/>
  </r>
  <r>
    <x v="43"/>
    <x v="2"/>
    <x v="0"/>
    <x v="0"/>
    <x v="0"/>
    <n v="19237"/>
    <n v="567"/>
    <n v="623"/>
    <n v="1256"/>
    <x v="0"/>
    <n v="875933"/>
    <n v="11984651"/>
    <n v="201339"/>
    <x v="1"/>
    <n v="1.67997382652194E-2"/>
  </r>
  <r>
    <x v="50"/>
    <x v="5"/>
    <x v="0"/>
    <x v="2"/>
    <x v="5"/>
    <n v="22251"/>
    <n v="477"/>
    <n v="519"/>
    <n v="1245"/>
    <x v="0"/>
    <n v="869077"/>
    <n v="11548269"/>
    <n v="65465"/>
    <x v="1"/>
    <n v="5.6688149539987302E-3"/>
  </r>
  <r>
    <x v="82"/>
    <x v="0"/>
    <x v="0"/>
    <x v="0"/>
    <x v="1"/>
    <n v="42249"/>
    <n v="625"/>
    <n v="740"/>
    <n v="1435"/>
    <x v="1"/>
    <n v="241761"/>
    <n v="31264260"/>
    <n v="4616874"/>
    <x v="1"/>
    <n v="0.14767258204736"/>
  </r>
  <r>
    <x v="113"/>
    <x v="5"/>
    <x v="1"/>
    <x v="2"/>
    <x v="5"/>
    <n v="32759"/>
    <n v="612"/>
    <n v="653"/>
    <n v="1262"/>
    <x v="0"/>
    <n v="743995"/>
    <n v="21391627"/>
    <n v="599124"/>
    <x v="1"/>
    <n v="2.8007406823239801E-2"/>
  </r>
  <r>
    <x v="31"/>
    <x v="0"/>
    <x v="0"/>
    <x v="2"/>
    <x v="4"/>
    <n v="20639"/>
    <n v="550"/>
    <n v="628"/>
    <n v="1405"/>
    <x v="1"/>
    <n v="371790"/>
    <n v="12961292"/>
    <n v="1238052"/>
    <x v="1"/>
    <n v="9.5519181266805794E-2"/>
  </r>
  <r>
    <x v="28"/>
    <x v="1"/>
    <x v="1"/>
    <x v="2"/>
    <x v="5"/>
    <n v="27381"/>
    <n v="686"/>
    <n v="733"/>
    <n v="1391"/>
    <x v="1"/>
    <n v="720248"/>
    <n v="20070273"/>
    <n v="566659"/>
    <x v="1"/>
    <n v="2.8233746496622102E-2"/>
  </r>
  <r>
    <x v="49"/>
    <x v="3"/>
    <x v="0"/>
    <x v="1"/>
    <x v="2"/>
    <n v="15309"/>
    <n v="596"/>
    <n v="691"/>
    <n v="1496"/>
    <x v="1"/>
    <n v="248215"/>
    <n v="10578519"/>
    <n v="1206140"/>
    <x v="1"/>
    <n v="0.11401785070292"/>
  </r>
  <r>
    <x v="21"/>
    <x v="1"/>
    <x v="1"/>
    <x v="1"/>
    <x v="2"/>
    <n v="41232"/>
    <n v="602"/>
    <n v="707"/>
    <n v="1391"/>
    <x v="1"/>
    <n v="1145753"/>
    <n v="29151024"/>
    <n v="3183607"/>
    <x v="1"/>
    <n v="0.109210811942661"/>
  </r>
  <r>
    <x v="114"/>
    <x v="2"/>
    <x v="2"/>
    <x v="2"/>
    <x v="4"/>
    <n v="23501"/>
    <n v="518"/>
    <n v="581"/>
    <n v="1297"/>
    <x v="0"/>
    <n v="820432"/>
    <n v="13654081"/>
    <n v="660131"/>
    <x v="1"/>
    <n v="4.8346790970406603E-2"/>
  </r>
  <r>
    <x v="115"/>
    <x v="1"/>
    <x v="0"/>
    <x v="2"/>
    <x v="4"/>
    <n v="31872"/>
    <n v="550"/>
    <n v="845"/>
    <n v="1391"/>
    <x v="1"/>
    <n v="962540"/>
    <n v="26931840"/>
    <n v="8439700"/>
    <x v="1"/>
    <n v="0.31337257313276801"/>
  </r>
  <r>
    <x v="57"/>
    <x v="2"/>
    <x v="2"/>
    <x v="2"/>
    <x v="4"/>
    <n v="21285"/>
    <n v="504"/>
    <n v="684"/>
    <n v="1422"/>
    <x v="1"/>
    <n v="300219"/>
    <n v="14558940"/>
    <n v="3531081"/>
    <x v="1"/>
    <n v="0.24253695667404401"/>
  </r>
  <r>
    <x v="116"/>
    <x v="5"/>
    <x v="0"/>
    <x v="1"/>
    <x v="2"/>
    <n v="33507"/>
    <n v="675"/>
    <n v="781"/>
    <n v="1381"/>
    <x v="1"/>
    <n v="642323"/>
    <n v="26168967"/>
    <n v="2909419"/>
    <x v="1"/>
    <n v="0.11117821349234"/>
  </r>
  <r>
    <x v="28"/>
    <x v="1"/>
    <x v="2"/>
    <x v="0"/>
    <x v="0"/>
    <n v="25580"/>
    <n v="456"/>
    <n v="516"/>
    <n v="1523"/>
    <x v="1"/>
    <n v="697375"/>
    <n v="13199280"/>
    <n v="837425"/>
    <x v="1"/>
    <n v="6.3444748501433404E-2"/>
  </r>
  <r>
    <x v="86"/>
    <x v="0"/>
    <x v="0"/>
    <x v="0"/>
    <x v="0"/>
    <n v="21267"/>
    <n v="435"/>
    <n v="473"/>
    <n v="1405"/>
    <x v="1"/>
    <n v="984417"/>
    <n v="10059291"/>
    <n v="-176271"/>
    <x v="0"/>
    <n v="-1.7523203176048899E-2"/>
  </r>
  <r>
    <x v="54"/>
    <x v="1"/>
    <x v="2"/>
    <x v="1"/>
    <x v="2"/>
    <n v="5783"/>
    <n v="667"/>
    <n v="753"/>
    <n v="1433"/>
    <x v="1"/>
    <n v="222859"/>
    <n v="4354599"/>
    <n v="274479"/>
    <x v="1"/>
    <n v="6.3031980671469395E-2"/>
  </r>
  <r>
    <x v="45"/>
    <x v="4"/>
    <x v="0"/>
    <x v="1"/>
    <x v="2"/>
    <n v="7798"/>
    <n v="697"/>
    <n v="798"/>
    <n v="1371"/>
    <x v="1"/>
    <n v="425146"/>
    <n v="6222804"/>
    <n v="362452"/>
    <x v="1"/>
    <n v="5.82457683063776E-2"/>
  </r>
  <r>
    <x v="115"/>
    <x v="1"/>
    <x v="1"/>
    <x v="1"/>
    <x v="3"/>
    <n v="24340"/>
    <n v="544"/>
    <n v="622"/>
    <n v="1391"/>
    <x v="1"/>
    <n v="649484"/>
    <n v="15139480"/>
    <n v="1249036"/>
    <x v="1"/>
    <n v="8.2501908916290403E-2"/>
  </r>
  <r>
    <x v="38"/>
    <x v="3"/>
    <x v="2"/>
    <x v="1"/>
    <x v="3"/>
    <n v="29491"/>
    <n v="516"/>
    <n v="549"/>
    <n v="1401"/>
    <x v="1"/>
    <n v="649484"/>
    <n v="16190559"/>
    <n v="323719"/>
    <x v="1"/>
    <n v="1.9994306558531998E-2"/>
  </r>
  <r>
    <x v="68"/>
    <x v="0"/>
    <x v="2"/>
    <x v="0"/>
    <x v="0"/>
    <n v="24703"/>
    <n v="437"/>
    <n v="892"/>
    <n v="1342"/>
    <x v="1"/>
    <n v="697375"/>
    <n v="22035076"/>
    <n v="10542490"/>
    <x v="1"/>
    <n v="0.478441281527688"/>
  </r>
  <r>
    <x v="116"/>
    <x v="5"/>
    <x v="1"/>
    <x v="2"/>
    <x v="5"/>
    <n v="27381"/>
    <n v="704"/>
    <n v="774"/>
    <n v="1236"/>
    <x v="0"/>
    <n v="752021"/>
    <n v="21192894"/>
    <n v="1164649"/>
    <x v="1"/>
    <n v="5.4954693776130797E-2"/>
  </r>
  <r>
    <x v="52"/>
    <x v="1"/>
    <x v="2"/>
    <x v="1"/>
    <x v="2"/>
    <n v="16630"/>
    <n v="427"/>
    <n v="831"/>
    <n v="1391"/>
    <x v="1"/>
    <n v="614812"/>
    <n v="13819530"/>
    <n v="6103708"/>
    <x v="1"/>
    <n v="0.44167261838861399"/>
  </r>
  <r>
    <x v="4"/>
    <x v="1"/>
    <x v="1"/>
    <x v="1"/>
    <x v="3"/>
    <n v="25354"/>
    <n v="602"/>
    <n v="762"/>
    <n v="1289"/>
    <x v="0"/>
    <n v="649484"/>
    <n v="19319748"/>
    <n v="3407156"/>
    <x v="1"/>
    <n v="0.17635613052509799"/>
  </r>
  <r>
    <x v="21"/>
    <x v="1"/>
    <x v="0"/>
    <x v="1"/>
    <x v="2"/>
    <n v="24418"/>
    <n v="550"/>
    <n v="637"/>
    <n v="1391"/>
    <x v="1"/>
    <n v="449556"/>
    <n v="15554266"/>
    <n v="1674810"/>
    <x v="1"/>
    <n v="0.107675283423853"/>
  </r>
  <r>
    <x v="60"/>
    <x v="5"/>
    <x v="1"/>
    <x v="0"/>
    <x v="0"/>
    <n v="5746"/>
    <n v="628"/>
    <n v="666"/>
    <n v="1375"/>
    <x v="1"/>
    <n v="1127519"/>
    <n v="3826836"/>
    <n v="-909171"/>
    <x v="0"/>
    <n v="-0.237577727396732"/>
  </r>
  <r>
    <x v="100"/>
    <x v="3"/>
    <x v="1"/>
    <x v="1"/>
    <x v="3"/>
    <n v="25354"/>
    <n v="615"/>
    <n v="675"/>
    <n v="1318"/>
    <x v="1"/>
    <n v="277804"/>
    <n v="17113950"/>
    <n v="1243436"/>
    <x v="1"/>
    <n v="7.2656283324422505E-2"/>
  </r>
  <r>
    <x v="117"/>
    <x v="3"/>
    <x v="1"/>
    <x v="0"/>
    <x v="0"/>
    <n v="19983"/>
    <n v="631"/>
    <n v="524"/>
    <n v="1263"/>
    <x v="0"/>
    <n v="697375"/>
    <n v="10471092"/>
    <n v="-2835556"/>
    <x v="0"/>
    <n v="-0.27079849933512201"/>
  </r>
  <r>
    <x v="40"/>
    <x v="5"/>
    <x v="0"/>
    <x v="2"/>
    <x v="5"/>
    <n v="24490"/>
    <n v="592"/>
    <n v="612"/>
    <n v="1389"/>
    <x v="1"/>
    <n v="829371"/>
    <n v="14987880"/>
    <n v="-339571"/>
    <x v="0"/>
    <n v="-2.2656373016063599E-2"/>
  </r>
  <r>
    <x v="118"/>
    <x v="1"/>
    <x v="2"/>
    <x v="0"/>
    <x v="0"/>
    <n v="10369"/>
    <n v="539"/>
    <n v="569"/>
    <n v="1554"/>
    <x v="1"/>
    <n v="395646"/>
    <n v="5899961"/>
    <n v="-84576"/>
    <x v="0"/>
    <n v="-1.43350100110831E-2"/>
  </r>
  <r>
    <x v="41"/>
    <x v="0"/>
    <x v="1"/>
    <x v="1"/>
    <x v="3"/>
    <n v="22600"/>
    <n v="465"/>
    <n v="605"/>
    <n v="1405"/>
    <x v="1"/>
    <n v="1081639"/>
    <n v="13673000"/>
    <n v="2082361"/>
    <x v="1"/>
    <n v="0.15229730125064"/>
  </r>
  <r>
    <x v="64"/>
    <x v="3"/>
    <x v="0"/>
    <x v="1"/>
    <x v="3"/>
    <n v="36212"/>
    <n v="538"/>
    <n v="604"/>
    <n v="1248"/>
    <x v="0"/>
    <n v="1195163"/>
    <n v="21872048"/>
    <n v="1194829"/>
    <x v="1"/>
    <n v="5.4628126273314703E-2"/>
  </r>
  <r>
    <x v="5"/>
    <x v="2"/>
    <x v="2"/>
    <x v="0"/>
    <x v="0"/>
    <n v="24703"/>
    <n v="598"/>
    <n v="709"/>
    <n v="1422"/>
    <x v="1"/>
    <n v="1098235"/>
    <n v="17514427"/>
    <n v="1643798"/>
    <x v="1"/>
    <n v="9.3853941096674207E-2"/>
  </r>
  <r>
    <x v="42"/>
    <x v="5"/>
    <x v="0"/>
    <x v="1"/>
    <x v="2"/>
    <n v="12374"/>
    <n v="464"/>
    <n v="576"/>
    <n v="1547"/>
    <x v="1"/>
    <n v="630849"/>
    <n v="7127424"/>
    <n v="755039"/>
    <x v="1"/>
    <n v="0.10593434598531"/>
  </r>
  <r>
    <x v="64"/>
    <x v="3"/>
    <x v="1"/>
    <x v="2"/>
    <x v="5"/>
    <n v="16285"/>
    <n v="595"/>
    <n v="673"/>
    <n v="1401"/>
    <x v="1"/>
    <n v="743995"/>
    <n v="10959805"/>
    <n v="526235"/>
    <x v="1"/>
    <n v="4.8014996617184301E-2"/>
  </r>
  <r>
    <x v="119"/>
    <x v="4"/>
    <x v="1"/>
    <x v="1"/>
    <x v="3"/>
    <n v="25378"/>
    <n v="576"/>
    <n v="638"/>
    <n v="1590"/>
    <x v="1"/>
    <n v="1065938"/>
    <n v="16191164"/>
    <n v="507498"/>
    <x v="1"/>
    <n v="3.1344133133356003E-2"/>
  </r>
  <r>
    <x v="120"/>
    <x v="5"/>
    <x v="1"/>
    <x v="2"/>
    <x v="5"/>
    <n v="17316"/>
    <n v="542"/>
    <n v="636"/>
    <n v="1264"/>
    <x v="0"/>
    <n v="731413"/>
    <n v="11012976"/>
    <n v="896291"/>
    <x v="1"/>
    <n v="8.1384995300089594E-2"/>
  </r>
  <r>
    <x v="63"/>
    <x v="1"/>
    <x v="2"/>
    <x v="2"/>
    <x v="4"/>
    <n v="18154"/>
    <n v="435"/>
    <n v="573"/>
    <n v="1402"/>
    <x v="1"/>
    <n v="914263"/>
    <n v="10402242"/>
    <n v="1590989"/>
    <x v="1"/>
    <n v="0.152946739750911"/>
  </r>
  <r>
    <x v="21"/>
    <x v="1"/>
    <x v="1"/>
    <x v="1"/>
    <x v="3"/>
    <n v="41132"/>
    <n v="671"/>
    <n v="760"/>
    <n v="1391"/>
    <x v="1"/>
    <n v="1017711"/>
    <n v="31260320"/>
    <n v="2643037"/>
    <x v="1"/>
    <n v="8.4549262451568005E-2"/>
  </r>
  <r>
    <x v="121"/>
    <x v="0"/>
    <x v="0"/>
    <x v="0"/>
    <x v="0"/>
    <n v="24580"/>
    <n v="601"/>
    <n v="658"/>
    <n v="1443"/>
    <x v="1"/>
    <n v="697375"/>
    <n v="16173640"/>
    <n v="703685"/>
    <x v="1"/>
    <n v="4.3508140406241298E-2"/>
  </r>
  <r>
    <x v="110"/>
    <x v="0"/>
    <x v="1"/>
    <x v="1"/>
    <x v="3"/>
    <n v="19300"/>
    <n v="566"/>
    <n v="654"/>
    <n v="1600"/>
    <x v="1"/>
    <n v="649484"/>
    <n v="12622200"/>
    <n v="1048916"/>
    <x v="1"/>
    <n v="8.3100885740996E-2"/>
  </r>
  <r>
    <x v="11"/>
    <x v="5"/>
    <x v="0"/>
    <x v="1"/>
    <x v="3"/>
    <n v="9183"/>
    <n v="612"/>
    <n v="770"/>
    <n v="1275"/>
    <x v="0"/>
    <n v="649484"/>
    <n v="7070910"/>
    <n v="801430"/>
    <x v="1"/>
    <n v="0.11334184708898901"/>
  </r>
  <r>
    <x v="122"/>
    <x v="5"/>
    <x v="1"/>
    <x v="2"/>
    <x v="5"/>
    <n v="37595"/>
    <n v="546"/>
    <n v="637"/>
    <n v="1389"/>
    <x v="1"/>
    <n v="869320"/>
    <n v="23948015"/>
    <n v="2551825"/>
    <x v="1"/>
    <n v="0.106556848239823"/>
  </r>
  <r>
    <x v="118"/>
    <x v="1"/>
    <x v="0"/>
    <x v="1"/>
    <x v="3"/>
    <n v="11396"/>
    <n v="550"/>
    <n v="637"/>
    <n v="1391"/>
    <x v="1"/>
    <n v="433049"/>
    <n v="7259252"/>
    <n v="558403"/>
    <x v="1"/>
    <n v="7.6922939167837101E-2"/>
  </r>
  <r>
    <x v="57"/>
    <x v="2"/>
    <x v="2"/>
    <x v="2"/>
    <x v="5"/>
    <n v="23786"/>
    <n v="675"/>
    <n v="691"/>
    <n v="1389"/>
    <x v="1"/>
    <n v="913763"/>
    <n v="16436126"/>
    <n v="-533187"/>
    <x v="0"/>
    <n v="-3.2439943573078001E-2"/>
  </r>
  <r>
    <x v="123"/>
    <x v="4"/>
    <x v="0"/>
    <x v="1"/>
    <x v="3"/>
    <n v="18126"/>
    <n v="591"/>
    <n v="617"/>
    <n v="1400"/>
    <x v="1"/>
    <n v="649484"/>
    <n v="11183742"/>
    <n v="-178208"/>
    <x v="0"/>
    <n v="-1.59345592915144E-2"/>
  </r>
  <r>
    <x v="0"/>
    <x v="0"/>
    <x v="2"/>
    <x v="0"/>
    <x v="1"/>
    <n v="16049"/>
    <n v="567"/>
    <n v="645"/>
    <n v="1586"/>
    <x v="1"/>
    <n v="680425"/>
    <n v="10351605"/>
    <n v="571397"/>
    <x v="1"/>
    <n v="5.5198879787240702E-2"/>
  </r>
  <r>
    <x v="124"/>
    <x v="4"/>
    <x v="2"/>
    <x v="2"/>
    <x v="5"/>
    <n v="39801"/>
    <n v="623"/>
    <n v="845"/>
    <n v="1400"/>
    <x v="1"/>
    <n v="520984"/>
    <n v="33631845"/>
    <n v="8314838"/>
    <x v="1"/>
    <n v="0.24723109897776899"/>
  </r>
  <r>
    <x v="58"/>
    <x v="2"/>
    <x v="2"/>
    <x v="1"/>
    <x v="3"/>
    <n v="13768"/>
    <n v="719"/>
    <n v="858"/>
    <n v="1208"/>
    <x v="0"/>
    <n v="421449"/>
    <n v="11812944"/>
    <n v="1492303"/>
    <x v="1"/>
    <n v="0.12632778078013401"/>
  </r>
  <r>
    <x v="125"/>
    <x v="1"/>
    <x v="0"/>
    <x v="2"/>
    <x v="4"/>
    <n v="26124"/>
    <n v="497"/>
    <n v="572"/>
    <n v="1391"/>
    <x v="1"/>
    <n v="637020"/>
    <n v="14942928"/>
    <n v="1322280"/>
    <x v="1"/>
    <n v="8.8488681736270197E-2"/>
  </r>
  <r>
    <x v="6"/>
    <x v="3"/>
    <x v="1"/>
    <x v="0"/>
    <x v="1"/>
    <n v="5609"/>
    <n v="595"/>
    <n v="673"/>
    <n v="1401"/>
    <x v="1"/>
    <n v="953681"/>
    <n v="3774857"/>
    <n v="-516179"/>
    <x v="0"/>
    <n v="-0.13674133881098"/>
  </r>
  <r>
    <x v="49"/>
    <x v="3"/>
    <x v="1"/>
    <x v="0"/>
    <x v="0"/>
    <n v="18090"/>
    <n v="712"/>
    <n v="799"/>
    <n v="1401"/>
    <x v="1"/>
    <n v="704012"/>
    <n v="14453910"/>
    <n v="869818"/>
    <x v="1"/>
    <n v="6.0178733643699203E-2"/>
  </r>
  <r>
    <x v="60"/>
    <x v="5"/>
    <x v="2"/>
    <x v="0"/>
    <x v="0"/>
    <n v="24703"/>
    <n v="579"/>
    <n v="651"/>
    <n v="1458"/>
    <x v="1"/>
    <n v="476955"/>
    <n v="16081653"/>
    <n v="1301661"/>
    <x v="1"/>
    <n v="8.0940746576238107E-2"/>
  </r>
  <r>
    <x v="126"/>
    <x v="4"/>
    <x v="2"/>
    <x v="0"/>
    <x v="0"/>
    <n v="25493"/>
    <n v="642"/>
    <n v="653"/>
    <n v="1400"/>
    <x v="1"/>
    <n v="697375"/>
    <n v="16646929"/>
    <n v="-416952"/>
    <x v="0"/>
    <n v="-2.5046781901935201E-2"/>
  </r>
  <r>
    <x v="127"/>
    <x v="1"/>
    <x v="2"/>
    <x v="1"/>
    <x v="3"/>
    <n v="31230"/>
    <n v="536"/>
    <n v="634"/>
    <n v="1245"/>
    <x v="0"/>
    <n v="1188248"/>
    <n v="19799820"/>
    <n v="1872292"/>
    <x v="1"/>
    <n v="9.4561061666217194E-2"/>
  </r>
  <r>
    <x v="62"/>
    <x v="3"/>
    <x v="2"/>
    <x v="1"/>
    <x v="3"/>
    <n v="29887"/>
    <n v="563"/>
    <n v="598"/>
    <n v="1395"/>
    <x v="1"/>
    <n v="662094"/>
    <n v="17872426"/>
    <n v="383951"/>
    <x v="1"/>
    <n v="2.1482869757021201E-2"/>
  </r>
  <r>
    <x v="124"/>
    <x v="4"/>
    <x v="1"/>
    <x v="2"/>
    <x v="5"/>
    <n v="27381"/>
    <n v="606"/>
    <n v="562"/>
    <n v="1465"/>
    <x v="1"/>
    <n v="743995"/>
    <n v="15388122"/>
    <n v="-1948759"/>
    <x v="0"/>
    <n v="-0.12664046983770999"/>
  </r>
  <r>
    <x v="128"/>
    <x v="5"/>
    <x v="0"/>
    <x v="0"/>
    <x v="0"/>
    <n v="35755"/>
    <n v="442"/>
    <n v="599"/>
    <n v="1389"/>
    <x v="1"/>
    <n v="597030"/>
    <n v="21417245"/>
    <n v="5016505"/>
    <x v="1"/>
    <n v="0.234227371447635"/>
  </r>
  <r>
    <x v="64"/>
    <x v="3"/>
    <x v="2"/>
    <x v="1"/>
    <x v="3"/>
    <n v="37666"/>
    <n v="563"/>
    <n v="598"/>
    <n v="1401"/>
    <x v="1"/>
    <n v="200177"/>
    <n v="22524268"/>
    <n v="1118133"/>
    <x v="1"/>
    <n v="4.9641258042214698E-2"/>
  </r>
  <r>
    <x v="129"/>
    <x v="3"/>
    <x v="0"/>
    <x v="2"/>
    <x v="5"/>
    <n v="27338"/>
    <n v="665"/>
    <n v="795"/>
    <n v="1345"/>
    <x v="1"/>
    <n v="743995"/>
    <n v="21733710"/>
    <n v="2809945"/>
    <x v="1"/>
    <n v="0.129289707095567"/>
  </r>
  <r>
    <x v="34"/>
    <x v="2"/>
    <x v="2"/>
    <x v="0"/>
    <x v="1"/>
    <n v="39208"/>
    <n v="631"/>
    <n v="820"/>
    <n v="1243"/>
    <x v="0"/>
    <n v="1175402"/>
    <n v="32150560"/>
    <n v="6234910"/>
    <x v="1"/>
    <n v="0.19392850388920099"/>
  </r>
  <r>
    <x v="29"/>
    <x v="0"/>
    <x v="2"/>
    <x v="1"/>
    <x v="2"/>
    <n v="22371"/>
    <n v="597"/>
    <n v="657"/>
    <n v="1405"/>
    <x v="1"/>
    <n v="780099"/>
    <n v="14697747"/>
    <n v="562161"/>
    <x v="1"/>
    <n v="3.8248107005787998E-2"/>
  </r>
  <r>
    <x v="105"/>
    <x v="5"/>
    <x v="0"/>
    <x v="1"/>
    <x v="2"/>
    <n v="11786"/>
    <n v="602"/>
    <n v="667"/>
    <n v="1585"/>
    <x v="1"/>
    <n v="674843"/>
    <n v="7861262"/>
    <n v="91247"/>
    <x v="1"/>
    <n v="1.16071694341188E-2"/>
  </r>
  <r>
    <x v="42"/>
    <x v="5"/>
    <x v="2"/>
    <x v="1"/>
    <x v="3"/>
    <n v="41279"/>
    <n v="579"/>
    <n v="651"/>
    <n v="1593"/>
    <x v="1"/>
    <n v="649484"/>
    <n v="26872629"/>
    <n v="2322604"/>
    <x v="1"/>
    <n v="8.6430099563388402E-2"/>
  </r>
  <r>
    <x v="34"/>
    <x v="2"/>
    <x v="0"/>
    <x v="1"/>
    <x v="2"/>
    <n v="24418"/>
    <n v="567"/>
    <n v="579"/>
    <n v="1523"/>
    <x v="1"/>
    <n v="599371"/>
    <n v="14138022"/>
    <n v="-306355"/>
    <x v="0"/>
    <n v="-2.16688727744235E-2"/>
  </r>
  <r>
    <x v="121"/>
    <x v="0"/>
    <x v="0"/>
    <x v="0"/>
    <x v="0"/>
    <n v="23783"/>
    <n v="627"/>
    <n v="694"/>
    <n v="1405"/>
    <x v="1"/>
    <n v="975414"/>
    <n v="16505402"/>
    <n v="618047"/>
    <x v="1"/>
    <n v="3.7445134629256499E-2"/>
  </r>
  <r>
    <x v="19"/>
    <x v="0"/>
    <x v="0"/>
    <x v="2"/>
    <x v="5"/>
    <n v="30007"/>
    <n v="601"/>
    <n v="658"/>
    <n v="1405"/>
    <x v="1"/>
    <n v="1018859"/>
    <n v="19744606"/>
    <n v="691540"/>
    <x v="1"/>
    <n v="3.5024249154427298E-2"/>
  </r>
  <r>
    <x v="14"/>
    <x v="3"/>
    <x v="2"/>
    <x v="2"/>
    <x v="5"/>
    <n v="24279"/>
    <n v="473"/>
    <n v="589"/>
    <n v="1401"/>
    <x v="1"/>
    <n v="477075"/>
    <n v="14300331"/>
    <n v="2339289"/>
    <x v="1"/>
    <n v="0.16358285692827701"/>
  </r>
  <r>
    <x v="104"/>
    <x v="0"/>
    <x v="0"/>
    <x v="1"/>
    <x v="2"/>
    <n v="15145"/>
    <n v="601"/>
    <n v="727"/>
    <n v="1429"/>
    <x v="1"/>
    <n v="642323"/>
    <n v="11010415"/>
    <n v="1265947"/>
    <x v="1"/>
    <n v="0.114977228378767"/>
  </r>
  <r>
    <x v="130"/>
    <x v="1"/>
    <x v="1"/>
    <x v="2"/>
    <x v="4"/>
    <n v="15444"/>
    <n v="541"/>
    <n v="546"/>
    <n v="1391"/>
    <x v="1"/>
    <n v="675852"/>
    <n v="8432424"/>
    <n v="-598632"/>
    <x v="0"/>
    <n v="-7.0991686376301794E-2"/>
  </r>
  <r>
    <x v="60"/>
    <x v="5"/>
    <x v="0"/>
    <x v="0"/>
    <x v="0"/>
    <n v="24580"/>
    <n v="604"/>
    <n v="689"/>
    <n v="1416"/>
    <x v="1"/>
    <n v="697375"/>
    <n v="16935620"/>
    <n v="1391925"/>
    <x v="1"/>
    <n v="8.2189196498268099E-2"/>
  </r>
  <r>
    <x v="131"/>
    <x v="3"/>
    <x v="1"/>
    <x v="2"/>
    <x v="5"/>
    <n v="17616"/>
    <n v="574"/>
    <n v="691"/>
    <n v="1401"/>
    <x v="1"/>
    <n v="743995"/>
    <n v="12172656"/>
    <n v="1317077"/>
    <x v="1"/>
    <n v="0.108199640242852"/>
  </r>
  <r>
    <x v="7"/>
    <x v="3"/>
    <x v="1"/>
    <x v="0"/>
    <x v="0"/>
    <n v="9726"/>
    <n v="558"/>
    <n v="530"/>
    <n v="1423"/>
    <x v="1"/>
    <n v="471212"/>
    <n v="5154780"/>
    <n v="-743540"/>
    <x v="0"/>
    <n v="-0.14424281928617699"/>
  </r>
  <r>
    <x v="18"/>
    <x v="2"/>
    <x v="1"/>
    <x v="1"/>
    <x v="3"/>
    <n v="25354"/>
    <n v="582"/>
    <n v="678"/>
    <n v="1422"/>
    <x v="1"/>
    <n v="649484"/>
    <n v="17190012"/>
    <n v="1784500"/>
    <x v="1"/>
    <n v="0.103810282389564"/>
  </r>
  <r>
    <x v="24"/>
    <x v="0"/>
    <x v="1"/>
    <x v="2"/>
    <x v="4"/>
    <n v="17892"/>
    <n v="429"/>
    <n v="626"/>
    <n v="1405"/>
    <x v="1"/>
    <n v="675852"/>
    <n v="11200392"/>
    <n v="2848872"/>
    <x v="1"/>
    <n v="0.25435466901515602"/>
  </r>
  <r>
    <x v="102"/>
    <x v="3"/>
    <x v="0"/>
    <x v="1"/>
    <x v="2"/>
    <n v="13076"/>
    <n v="596"/>
    <n v="876"/>
    <n v="1401"/>
    <x v="1"/>
    <n v="422022"/>
    <n v="11454576"/>
    <n v="3239258"/>
    <x v="1"/>
    <n v="0.282791610968402"/>
  </r>
  <r>
    <x v="132"/>
    <x v="1"/>
    <x v="0"/>
    <x v="2"/>
    <x v="4"/>
    <n v="19469"/>
    <n v="550"/>
    <n v="834"/>
    <n v="1391"/>
    <x v="1"/>
    <n v="270634"/>
    <n v="16237146"/>
    <n v="5258562"/>
    <x v="1"/>
    <n v="0.32385999362203199"/>
  </r>
  <r>
    <x v="104"/>
    <x v="0"/>
    <x v="2"/>
    <x v="2"/>
    <x v="5"/>
    <n v="13402"/>
    <n v="506"/>
    <n v="653"/>
    <n v="1405"/>
    <x v="1"/>
    <n v="1046934"/>
    <n v="8751506"/>
    <n v="923160"/>
    <x v="1"/>
    <n v="0.10548584437924199"/>
  </r>
  <r>
    <x v="59"/>
    <x v="0"/>
    <x v="1"/>
    <x v="0"/>
    <x v="0"/>
    <n v="33581"/>
    <n v="566"/>
    <n v="599"/>
    <n v="1344"/>
    <x v="1"/>
    <n v="710626"/>
    <n v="20115019"/>
    <n v="397547"/>
    <x v="1"/>
    <n v="1.97636900069545E-2"/>
  </r>
  <r>
    <x v="133"/>
    <x v="0"/>
    <x v="2"/>
    <x v="2"/>
    <x v="4"/>
    <n v="17873"/>
    <n v="540"/>
    <n v="653"/>
    <n v="1405"/>
    <x v="1"/>
    <n v="675852"/>
    <n v="11671069"/>
    <n v="1343797"/>
    <x v="1"/>
    <n v="0.115139153063014"/>
  </r>
  <r>
    <x v="100"/>
    <x v="3"/>
    <x v="2"/>
    <x v="0"/>
    <x v="1"/>
    <n v="28974"/>
    <n v="563"/>
    <n v="598"/>
    <n v="1404"/>
    <x v="1"/>
    <n v="581540"/>
    <n v="17326452"/>
    <n v="432550"/>
    <x v="1"/>
    <n v="2.49647186856259E-2"/>
  </r>
  <r>
    <x v="134"/>
    <x v="3"/>
    <x v="0"/>
    <x v="0"/>
    <x v="0"/>
    <n v="34243"/>
    <n v="590"/>
    <n v="668"/>
    <n v="1216"/>
    <x v="0"/>
    <n v="477198"/>
    <n v="22874324"/>
    <n v="2193756"/>
    <x v="1"/>
    <n v="9.5904735807711694E-2"/>
  </r>
  <r>
    <x v="80"/>
    <x v="3"/>
    <x v="2"/>
    <x v="0"/>
    <x v="0"/>
    <n v="35780"/>
    <n v="563"/>
    <n v="596"/>
    <n v="1401"/>
    <x v="1"/>
    <n v="382294"/>
    <n v="21324880"/>
    <n v="798446"/>
    <x v="1"/>
    <n v="3.74419926395834E-2"/>
  </r>
  <r>
    <x v="14"/>
    <x v="3"/>
    <x v="0"/>
    <x v="1"/>
    <x v="3"/>
    <n v="21487"/>
    <n v="487"/>
    <n v="840"/>
    <n v="1517"/>
    <x v="1"/>
    <n v="726214"/>
    <n v="18049080"/>
    <n v="6858697"/>
    <x v="1"/>
    <n v="0.38000258184904701"/>
  </r>
  <r>
    <x v="135"/>
    <x v="4"/>
    <x v="1"/>
    <x v="0"/>
    <x v="0"/>
    <n v="18861"/>
    <n v="467"/>
    <n v="637"/>
    <n v="1393"/>
    <x v="1"/>
    <n v="697375"/>
    <n v="12014457"/>
    <n v="2508995"/>
    <x v="1"/>
    <n v="0.20883132712531199"/>
  </r>
  <r>
    <x v="119"/>
    <x v="4"/>
    <x v="2"/>
    <x v="2"/>
    <x v="5"/>
    <n v="23786"/>
    <n v="656"/>
    <n v="686"/>
    <n v="1222"/>
    <x v="0"/>
    <n v="743995"/>
    <n v="16317196"/>
    <n v="-30415"/>
    <x v="0"/>
    <n v="-1.8639844738029699E-3"/>
  </r>
  <r>
    <x v="40"/>
    <x v="5"/>
    <x v="0"/>
    <x v="2"/>
    <x v="4"/>
    <n v="19194"/>
    <n v="561"/>
    <n v="590"/>
    <n v="1518"/>
    <x v="1"/>
    <n v="675852"/>
    <n v="11324460"/>
    <n v="-119226"/>
    <x v="0"/>
    <n v="-1.05281841253358E-2"/>
  </r>
  <r>
    <x v="58"/>
    <x v="2"/>
    <x v="1"/>
    <x v="0"/>
    <x v="1"/>
    <n v="29786"/>
    <n v="582"/>
    <n v="837"/>
    <n v="1531"/>
    <x v="1"/>
    <n v="680425"/>
    <n v="24930882"/>
    <n v="6915005"/>
    <x v="1"/>
    <n v="0.27736704220893599"/>
  </r>
  <r>
    <x v="45"/>
    <x v="4"/>
    <x v="0"/>
    <x v="0"/>
    <x v="0"/>
    <n v="24580"/>
    <n v="604"/>
    <n v="742"/>
    <n v="1400"/>
    <x v="1"/>
    <n v="440633"/>
    <n v="18238360"/>
    <n v="2951407"/>
    <x v="1"/>
    <n v="0.16182414427613001"/>
  </r>
  <r>
    <x v="5"/>
    <x v="2"/>
    <x v="1"/>
    <x v="1"/>
    <x v="2"/>
    <n v="21680"/>
    <n v="582"/>
    <n v="845"/>
    <n v="1422"/>
    <x v="1"/>
    <n v="642323"/>
    <n v="18319600"/>
    <n v="5059517"/>
    <x v="1"/>
    <n v="0.27618053887639499"/>
  </r>
  <r>
    <x v="136"/>
    <x v="2"/>
    <x v="0"/>
    <x v="0"/>
    <x v="0"/>
    <n v="31794"/>
    <n v="567"/>
    <n v="564"/>
    <n v="1422"/>
    <x v="1"/>
    <n v="616760"/>
    <n v="17931816"/>
    <n v="-712142"/>
    <x v="0"/>
    <n v="-3.9713880624249097E-2"/>
  </r>
  <r>
    <x v="21"/>
    <x v="1"/>
    <x v="1"/>
    <x v="2"/>
    <x v="5"/>
    <n v="41366"/>
    <n v="512"/>
    <n v="607"/>
    <n v="1391"/>
    <x v="1"/>
    <n v="743995"/>
    <n v="25109162"/>
    <n v="3185775"/>
    <x v="1"/>
    <n v="0.126876994142616"/>
  </r>
  <r>
    <x v="129"/>
    <x v="3"/>
    <x v="2"/>
    <x v="0"/>
    <x v="0"/>
    <n v="24703"/>
    <n v="629"/>
    <n v="682"/>
    <n v="1401"/>
    <x v="1"/>
    <n v="656526"/>
    <n v="16847446"/>
    <n v="652733"/>
    <x v="1"/>
    <n v="3.8743735994167902E-2"/>
  </r>
  <r>
    <x v="76"/>
    <x v="4"/>
    <x v="1"/>
    <x v="0"/>
    <x v="1"/>
    <n v="21280"/>
    <n v="576"/>
    <n v="638"/>
    <n v="1456"/>
    <x v="1"/>
    <n v="680425"/>
    <n v="13576640"/>
    <n v="638935"/>
    <x v="1"/>
    <n v="4.7061349494425697E-2"/>
  </r>
  <r>
    <x v="46"/>
    <x v="5"/>
    <x v="1"/>
    <x v="0"/>
    <x v="0"/>
    <n v="7363"/>
    <n v="492"/>
    <n v="574"/>
    <n v="1389"/>
    <x v="1"/>
    <n v="410040"/>
    <n v="4226362"/>
    <n v="193726"/>
    <x v="1"/>
    <n v="4.5837531191128399E-2"/>
  </r>
  <r>
    <x v="45"/>
    <x v="4"/>
    <x v="0"/>
    <x v="2"/>
    <x v="4"/>
    <n v="43203"/>
    <n v="524"/>
    <n v="538"/>
    <n v="1304"/>
    <x v="1"/>
    <n v="675852"/>
    <n v="23243214"/>
    <n v="-71010"/>
    <x v="0"/>
    <n v="-3.0550852390723599E-3"/>
  </r>
  <r>
    <x v="137"/>
    <x v="0"/>
    <x v="2"/>
    <x v="2"/>
    <x v="5"/>
    <n v="23786"/>
    <n v="540"/>
    <n v="649"/>
    <n v="1508"/>
    <x v="1"/>
    <n v="743995"/>
    <n v="15437114"/>
    <n v="1848679"/>
    <x v="1"/>
    <n v="0.119755480201805"/>
  </r>
  <r>
    <x v="138"/>
    <x v="3"/>
    <x v="1"/>
    <x v="2"/>
    <x v="4"/>
    <n v="9427"/>
    <n v="595"/>
    <n v="766"/>
    <n v="1401"/>
    <x v="1"/>
    <n v="934861"/>
    <n v="7221082"/>
    <n v="677156"/>
    <x v="1"/>
    <n v="9.3774866425834796E-2"/>
  </r>
  <r>
    <x v="114"/>
    <x v="2"/>
    <x v="2"/>
    <x v="1"/>
    <x v="2"/>
    <n v="9982"/>
    <n v="591"/>
    <n v="754"/>
    <n v="1422"/>
    <x v="1"/>
    <n v="1115136"/>
    <n v="7526428"/>
    <n v="511930"/>
    <x v="1"/>
    <n v="6.8017657247236005E-2"/>
  </r>
  <r>
    <x v="68"/>
    <x v="0"/>
    <x v="2"/>
    <x v="0"/>
    <x v="0"/>
    <n v="15223"/>
    <n v="540"/>
    <n v="653"/>
    <n v="1506"/>
    <x v="1"/>
    <n v="705719"/>
    <n v="9940619"/>
    <n v="1014480"/>
    <x v="1"/>
    <n v="0.102054006898363"/>
  </r>
  <r>
    <x v="27"/>
    <x v="3"/>
    <x v="0"/>
    <x v="1"/>
    <x v="3"/>
    <n v="24906"/>
    <n v="596"/>
    <n v="508"/>
    <n v="1401"/>
    <x v="1"/>
    <n v="649484"/>
    <n v="12652248"/>
    <n v="-2841212"/>
    <x v="0"/>
    <n v="-0.22456183280631201"/>
  </r>
  <r>
    <x v="139"/>
    <x v="5"/>
    <x v="2"/>
    <x v="1"/>
    <x v="2"/>
    <n v="25686"/>
    <n v="622"/>
    <n v="726"/>
    <n v="1305"/>
    <x v="1"/>
    <n v="842865"/>
    <n v="18648036"/>
    <n v="1828479"/>
    <x v="1"/>
    <n v="9.8052095137525497E-2"/>
  </r>
  <r>
    <x v="5"/>
    <x v="2"/>
    <x v="1"/>
    <x v="0"/>
    <x v="1"/>
    <n v="29399"/>
    <n v="676"/>
    <n v="749"/>
    <n v="1526"/>
    <x v="1"/>
    <n v="653214"/>
    <n v="22019851"/>
    <n v="1492913"/>
    <x v="1"/>
    <n v="6.77985059935238E-2"/>
  </r>
  <r>
    <x v="6"/>
    <x v="3"/>
    <x v="2"/>
    <x v="0"/>
    <x v="0"/>
    <n v="32624"/>
    <n v="563"/>
    <n v="683"/>
    <n v="1401"/>
    <x v="1"/>
    <n v="1100204"/>
    <n v="22282192"/>
    <n v="2814676"/>
    <x v="1"/>
    <n v="0.12631952906608099"/>
  </r>
  <r>
    <x v="8"/>
    <x v="4"/>
    <x v="1"/>
    <x v="0"/>
    <x v="0"/>
    <n v="19983"/>
    <n v="643"/>
    <n v="702"/>
    <n v="1365"/>
    <x v="1"/>
    <n v="697375"/>
    <n v="14028066"/>
    <n v="481622"/>
    <x v="1"/>
    <n v="3.43327440860344E-2"/>
  </r>
  <r>
    <x v="24"/>
    <x v="0"/>
    <x v="2"/>
    <x v="2"/>
    <x v="4"/>
    <n v="38452"/>
    <n v="652"/>
    <n v="704"/>
    <n v="1456"/>
    <x v="1"/>
    <n v="675852"/>
    <n v="27070208"/>
    <n v="1323652"/>
    <x v="1"/>
    <n v="4.8897001456361201E-2"/>
  </r>
  <r>
    <x v="76"/>
    <x v="4"/>
    <x v="0"/>
    <x v="1"/>
    <x v="2"/>
    <n v="19956"/>
    <n v="507"/>
    <n v="628"/>
    <n v="1400"/>
    <x v="1"/>
    <n v="746240"/>
    <n v="12532368"/>
    <n v="1668436"/>
    <x v="1"/>
    <n v="0.13313014747093299"/>
  </r>
  <r>
    <x v="119"/>
    <x v="4"/>
    <x v="1"/>
    <x v="0"/>
    <x v="0"/>
    <n v="19983"/>
    <n v="630"/>
    <n v="493"/>
    <n v="1210"/>
    <x v="0"/>
    <n v="749435"/>
    <n v="9851619"/>
    <n v="-3487106"/>
    <x v="0"/>
    <n v="-0.353962734450043"/>
  </r>
  <r>
    <x v="99"/>
    <x v="4"/>
    <x v="2"/>
    <x v="1"/>
    <x v="2"/>
    <n v="25274"/>
    <n v="641"/>
    <n v="666"/>
    <n v="1343"/>
    <x v="1"/>
    <n v="699284"/>
    <n v="16832484"/>
    <n v="-67434"/>
    <x v="0"/>
    <n v="-4.0061823317342803E-3"/>
  </r>
  <r>
    <x v="4"/>
    <x v="1"/>
    <x v="0"/>
    <x v="1"/>
    <x v="3"/>
    <n v="44163"/>
    <n v="550"/>
    <n v="646"/>
    <n v="1564"/>
    <x v="1"/>
    <n v="293904"/>
    <n v="28529298"/>
    <n v="3945744"/>
    <x v="1"/>
    <n v="0.13830498037491101"/>
  </r>
  <r>
    <x v="140"/>
    <x v="0"/>
    <x v="1"/>
    <x v="1"/>
    <x v="3"/>
    <n v="24894"/>
    <n v="577"/>
    <n v="625"/>
    <n v="1397"/>
    <x v="1"/>
    <n v="209576"/>
    <n v="15558750"/>
    <n v="985336"/>
    <x v="1"/>
    <n v="6.3330023298786897E-2"/>
  </r>
  <r>
    <x v="141"/>
    <x v="4"/>
    <x v="1"/>
    <x v="2"/>
    <x v="4"/>
    <n v="17892"/>
    <n v="576"/>
    <n v="782"/>
    <n v="1531"/>
    <x v="1"/>
    <n v="642750"/>
    <n v="13991544"/>
    <n v="3043002"/>
    <x v="1"/>
    <n v="0.21748864885819599"/>
  </r>
  <r>
    <x v="24"/>
    <x v="0"/>
    <x v="0"/>
    <x v="2"/>
    <x v="5"/>
    <n v="32060"/>
    <n v="601"/>
    <n v="655"/>
    <n v="1309"/>
    <x v="1"/>
    <n v="536219"/>
    <n v="20999300"/>
    <n v="1195021"/>
    <x v="1"/>
    <n v="5.6907658826722801E-2"/>
  </r>
  <r>
    <x v="130"/>
    <x v="1"/>
    <x v="2"/>
    <x v="2"/>
    <x v="4"/>
    <n v="23488"/>
    <n v="635"/>
    <n v="654"/>
    <n v="1325"/>
    <x v="1"/>
    <n v="675852"/>
    <n v="15361152"/>
    <n v="-229580"/>
    <x v="0"/>
    <n v="-1.4945493671307999E-2"/>
  </r>
  <r>
    <x v="103"/>
    <x v="1"/>
    <x v="2"/>
    <x v="1"/>
    <x v="2"/>
    <n v="22465"/>
    <n v="474"/>
    <n v="574"/>
    <n v="1486"/>
    <x v="1"/>
    <n v="1008688"/>
    <n v="12894910"/>
    <n v="1237812"/>
    <x v="1"/>
    <n v="9.5992294634084305E-2"/>
  </r>
  <r>
    <x v="20"/>
    <x v="2"/>
    <x v="0"/>
    <x v="0"/>
    <x v="0"/>
    <n v="18660"/>
    <n v="708"/>
    <n v="736"/>
    <n v="1301"/>
    <x v="1"/>
    <n v="577934"/>
    <n v="13733760"/>
    <n v="-55454"/>
    <x v="0"/>
    <n v="-4.0377871755440603E-3"/>
  </r>
  <r>
    <x v="19"/>
    <x v="0"/>
    <x v="0"/>
    <x v="0"/>
    <x v="0"/>
    <n v="26267"/>
    <n v="595"/>
    <n v="692"/>
    <n v="1405"/>
    <x v="1"/>
    <n v="362520"/>
    <n v="18176764"/>
    <n v="2185379"/>
    <x v="1"/>
    <n v="0.120229266331455"/>
  </r>
  <r>
    <x v="49"/>
    <x v="3"/>
    <x v="2"/>
    <x v="0"/>
    <x v="0"/>
    <n v="27178"/>
    <n v="563"/>
    <n v="598"/>
    <n v="1401"/>
    <x v="1"/>
    <n v="875960"/>
    <n v="16252444"/>
    <n v="75270"/>
    <x v="1"/>
    <n v="4.6313034519608297E-3"/>
  </r>
  <r>
    <x v="119"/>
    <x v="4"/>
    <x v="1"/>
    <x v="2"/>
    <x v="4"/>
    <n v="13829"/>
    <n v="566"/>
    <n v="694"/>
    <n v="1275"/>
    <x v="0"/>
    <n v="967979"/>
    <n v="9597326"/>
    <n v="802133"/>
    <x v="1"/>
    <n v="8.3578801011865198E-2"/>
  </r>
  <r>
    <x v="74"/>
    <x v="4"/>
    <x v="1"/>
    <x v="2"/>
    <x v="4"/>
    <n v="24377"/>
    <n v="576"/>
    <n v="638"/>
    <n v="1448"/>
    <x v="1"/>
    <n v="1013712"/>
    <n v="15552526"/>
    <n v="497662"/>
    <x v="1"/>
    <n v="3.1998789135604097E-2"/>
  </r>
  <r>
    <x v="142"/>
    <x v="5"/>
    <x v="1"/>
    <x v="2"/>
    <x v="4"/>
    <n v="17892"/>
    <n v="574"/>
    <n v="577"/>
    <n v="1389"/>
    <x v="1"/>
    <n v="890897"/>
    <n v="10323684"/>
    <n v="-837221"/>
    <x v="0"/>
    <n v="-8.1097116107002098E-2"/>
  </r>
  <r>
    <x v="143"/>
    <x v="1"/>
    <x v="2"/>
    <x v="0"/>
    <x v="0"/>
    <n v="36809"/>
    <n v="612"/>
    <n v="687"/>
    <n v="1391"/>
    <x v="1"/>
    <n v="274316"/>
    <n v="25287783"/>
    <n v="2486359"/>
    <x v="1"/>
    <n v="9.8322537804124602E-2"/>
  </r>
  <r>
    <x v="33"/>
    <x v="2"/>
    <x v="0"/>
    <x v="1"/>
    <x v="2"/>
    <n v="24418"/>
    <n v="545"/>
    <n v="476"/>
    <n v="1494"/>
    <x v="1"/>
    <n v="281721"/>
    <n v="11622968"/>
    <n v="-1966563"/>
    <x v="0"/>
    <n v="-0.16919628446021701"/>
  </r>
  <r>
    <x v="36"/>
    <x v="0"/>
    <x v="0"/>
    <x v="0"/>
    <x v="0"/>
    <n v="24580"/>
    <n v="617"/>
    <n v="688"/>
    <n v="1405"/>
    <x v="1"/>
    <n v="697375"/>
    <n v="16911040"/>
    <n v="1047805"/>
    <x v="1"/>
    <n v="6.1959820330387702E-2"/>
  </r>
  <r>
    <x v="127"/>
    <x v="1"/>
    <x v="1"/>
    <x v="0"/>
    <x v="0"/>
    <n v="19983"/>
    <n v="720"/>
    <n v="856"/>
    <n v="1391"/>
    <x v="1"/>
    <n v="697375"/>
    <n v="17105448"/>
    <n v="2020313"/>
    <x v="1"/>
    <n v="0.11810932984625699"/>
  </r>
  <r>
    <x v="81"/>
    <x v="3"/>
    <x v="1"/>
    <x v="2"/>
    <x v="4"/>
    <n v="17892"/>
    <n v="708"/>
    <n v="824"/>
    <n v="1401"/>
    <x v="1"/>
    <n v="1133572"/>
    <n v="14743008"/>
    <n v="941900"/>
    <x v="1"/>
    <n v="6.3887912154697302E-2"/>
  </r>
  <r>
    <x v="144"/>
    <x v="1"/>
    <x v="2"/>
    <x v="1"/>
    <x v="2"/>
    <n v="22371"/>
    <n v="532"/>
    <n v="661"/>
    <n v="1262"/>
    <x v="0"/>
    <n v="642323"/>
    <n v="14787231"/>
    <n v="2243536"/>
    <x v="1"/>
    <n v="0.151721170785795"/>
  </r>
  <r>
    <x v="108"/>
    <x v="0"/>
    <x v="2"/>
    <x v="0"/>
    <x v="1"/>
    <n v="22232"/>
    <n v="540"/>
    <n v="596"/>
    <n v="1405"/>
    <x v="1"/>
    <n v="936989"/>
    <n v="13250272"/>
    <n v="308003"/>
    <x v="1"/>
    <n v="2.32450322529228E-2"/>
  </r>
  <r>
    <x v="145"/>
    <x v="4"/>
    <x v="0"/>
    <x v="2"/>
    <x v="5"/>
    <n v="8664"/>
    <n v="665"/>
    <n v="777"/>
    <n v="1499"/>
    <x v="1"/>
    <n v="743995"/>
    <n v="6731928"/>
    <n v="226373"/>
    <x v="1"/>
    <n v="3.36267708151365E-2"/>
  </r>
  <r>
    <x v="146"/>
    <x v="3"/>
    <x v="1"/>
    <x v="0"/>
    <x v="1"/>
    <n v="21280"/>
    <n v="465"/>
    <n v="753"/>
    <n v="1401"/>
    <x v="1"/>
    <n v="729247"/>
    <n v="16023840"/>
    <n v="5399393"/>
    <x v="1"/>
    <n v="0.33695999211175398"/>
  </r>
  <r>
    <x v="103"/>
    <x v="1"/>
    <x v="1"/>
    <x v="1"/>
    <x v="3"/>
    <n v="10409"/>
    <n v="435"/>
    <n v="629"/>
    <n v="1510"/>
    <x v="1"/>
    <n v="704283"/>
    <n v="6547261"/>
    <n v="1315063"/>
    <x v="1"/>
    <n v="0.20085696904400199"/>
  </r>
  <r>
    <x v="77"/>
    <x v="3"/>
    <x v="1"/>
    <x v="1"/>
    <x v="2"/>
    <n v="9695"/>
    <n v="595"/>
    <n v="490"/>
    <n v="1339"/>
    <x v="1"/>
    <n v="642323"/>
    <n v="4750550"/>
    <n v="-1660298"/>
    <x v="0"/>
    <n v="-0.34949595310016701"/>
  </r>
  <r>
    <x v="110"/>
    <x v="0"/>
    <x v="2"/>
    <x v="1"/>
    <x v="2"/>
    <n v="14556"/>
    <n v="540"/>
    <n v="653"/>
    <n v="1405"/>
    <x v="1"/>
    <n v="354850"/>
    <n v="9505068"/>
    <n v="1289978"/>
    <x v="1"/>
    <n v="0.135714757642975"/>
  </r>
  <r>
    <x v="147"/>
    <x v="0"/>
    <x v="2"/>
    <x v="1"/>
    <x v="2"/>
    <n v="6490"/>
    <n v="483"/>
    <n v="788"/>
    <n v="1405"/>
    <x v="1"/>
    <n v="932697"/>
    <n v="5114120"/>
    <n v="1046753"/>
    <x v="1"/>
    <n v="0.20467900635886499"/>
  </r>
  <r>
    <x v="97"/>
    <x v="0"/>
    <x v="1"/>
    <x v="2"/>
    <x v="4"/>
    <n v="8939"/>
    <n v="657"/>
    <n v="718"/>
    <n v="1405"/>
    <x v="1"/>
    <n v="577717"/>
    <n v="6418202"/>
    <n v="-32438"/>
    <x v="0"/>
    <n v="-5.0540634277325596E-3"/>
  </r>
  <r>
    <x v="36"/>
    <x v="0"/>
    <x v="2"/>
    <x v="1"/>
    <x v="3"/>
    <n v="11527"/>
    <n v="565"/>
    <n v="675"/>
    <n v="1424"/>
    <x v="1"/>
    <n v="649484"/>
    <n v="7780725"/>
    <n v="618486"/>
    <x v="1"/>
    <n v="7.9489507725822403E-2"/>
  </r>
  <r>
    <x v="148"/>
    <x v="2"/>
    <x v="1"/>
    <x v="1"/>
    <x v="3"/>
    <n v="25354"/>
    <n v="526"/>
    <n v="890"/>
    <n v="1450"/>
    <x v="1"/>
    <n v="1133654"/>
    <n v="22565060"/>
    <n v="8095202"/>
    <x v="1"/>
    <n v="0.35874941170109897"/>
  </r>
  <r>
    <x v="115"/>
    <x v="1"/>
    <x v="0"/>
    <x v="1"/>
    <x v="2"/>
    <n v="30745"/>
    <n v="550"/>
    <n v="637"/>
    <n v="1429"/>
    <x v="1"/>
    <n v="642323"/>
    <n v="19584565"/>
    <n v="2032492"/>
    <x v="1"/>
    <n v="0.103780298413572"/>
  </r>
  <r>
    <x v="149"/>
    <x v="1"/>
    <x v="1"/>
    <x v="1"/>
    <x v="2"/>
    <n v="21373"/>
    <n v="679"/>
    <n v="765"/>
    <n v="1372"/>
    <x v="1"/>
    <n v="642323"/>
    <n v="16350345"/>
    <n v="1195755"/>
    <x v="1"/>
    <n v="7.3133319205191102E-2"/>
  </r>
  <r>
    <x v="95"/>
    <x v="3"/>
    <x v="2"/>
    <x v="1"/>
    <x v="2"/>
    <n v="17067"/>
    <n v="650"/>
    <n v="587"/>
    <n v="1261"/>
    <x v="0"/>
    <n v="642323"/>
    <n v="10018329"/>
    <n v="-1717544"/>
    <x v="0"/>
    <n v="-0.1714401673173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AE491-9679-4B5D-AC7A-E65F1A48DC0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3:M10" firstHeaderRow="1" firstDataRow="1" firstDataCol="1"/>
  <pivotFields count="16">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4"/>
        <item x="1"/>
        <item x="0"/>
        <item x="2"/>
        <item x="3"/>
        <item x="5"/>
        <item t="default"/>
      </items>
    </pivotField>
    <pivotField showAll="0">
      <items count="4">
        <item x="1"/>
        <item x="0"/>
        <item x="2"/>
        <item t="default"/>
      </items>
    </pivotField>
    <pivotField showAll="0">
      <items count="4">
        <item x="2"/>
        <item x="1"/>
        <item x="0"/>
        <item t="default"/>
      </items>
    </pivotField>
    <pivotField axis="axisRow" showAll="0">
      <items count="7">
        <item x="0"/>
        <item x="3"/>
        <item x="1"/>
        <item x="5"/>
        <item x="4"/>
        <item x="2"/>
        <item t="default"/>
      </items>
    </pivotField>
    <pivotField showAll="0"/>
    <pivotField showAll="0"/>
    <pivotField showAll="0"/>
    <pivotField showAll="0"/>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Profit" fld="12" baseField="0" baseItem="0" numFmtId="164"/>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0ED1F4-FEB0-4523-9F5F-0B54975A8C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3:I7" firstHeaderRow="0" firstDataRow="1" firstDataCol="1"/>
  <pivotFields count="16">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4"/>
        <item x="1"/>
        <item x="0"/>
        <item x="2"/>
        <item x="3"/>
        <item x="5"/>
        <item t="default"/>
      </items>
    </pivotField>
    <pivotField showAll="0">
      <items count="4">
        <item x="1"/>
        <item x="0"/>
        <item x="2"/>
        <item t="default"/>
      </items>
    </pivotField>
    <pivotField axis="axisRow" showAll="0" sortType="descending">
      <items count="4">
        <item x="2"/>
        <item x="1"/>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dataField="1"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s>
  <rowFields count="1">
    <field x="3"/>
  </rowFields>
  <rowItems count="4">
    <i>
      <x v="1"/>
    </i>
    <i>
      <x/>
    </i>
    <i>
      <x v="2"/>
    </i>
    <i t="grand">
      <x/>
    </i>
  </rowItems>
  <colFields count="1">
    <field x="-2"/>
  </colFields>
  <colItems count="2">
    <i>
      <x/>
    </i>
    <i i="1">
      <x v="1"/>
    </i>
  </colItems>
  <dataFields count="2">
    <dataField name="Sum of Revenue" fld="11" baseField="0" baseItem="0" numFmtId="164"/>
    <dataField name="Sum of Profit" fld="12" baseField="3" baseItem="0" numFmtId="164"/>
  </dataFields>
  <chartFormats count="2">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B0A71-6701-4F18-A6F7-7DD10F01F5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0" firstDataRow="1" firstDataCol="1"/>
  <pivotFields count="16">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4"/>
        <item x="1"/>
        <item x="0"/>
        <item x="2"/>
        <item x="3"/>
        <item x="5"/>
        <item t="default"/>
      </items>
    </pivotField>
    <pivotField axis="axisRow" showAll="0">
      <items count="4">
        <item x="1"/>
        <item x="0"/>
        <item x="2"/>
        <item t="default"/>
      </items>
    </pivotField>
    <pivotField showAll="0">
      <items count="4">
        <item x="2"/>
        <item x="1"/>
        <item x="0"/>
        <item t="default"/>
      </items>
    </pivotField>
    <pivotField showAll="0"/>
    <pivotField showAll="0"/>
    <pivotField showAll="0"/>
    <pivotField showAll="0"/>
    <pivotField showAll="0"/>
    <pivotField showAll="0"/>
    <pivotField showAll="0"/>
    <pivotField dataField="1" showAll="0"/>
    <pivotField dataField="1" showAll="0"/>
    <pivotField showAll="0"/>
    <pivotField dataField="1" numFmtId="10"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2"/>
  </colFields>
  <colItems count="3">
    <i>
      <x/>
    </i>
    <i i="1">
      <x v="1"/>
    </i>
    <i i="2">
      <x v="2"/>
    </i>
  </colItems>
  <dataFields count="3">
    <dataField name="Sum of Profit" fld="12" baseField="0" baseItem="0" numFmtId="164"/>
    <dataField name="Sum of Revenue" fld="11" baseField="0" baseItem="0" numFmtId="164"/>
    <dataField name="Average of Profit Margin %" fld="14" subtotal="average" baseField="2" baseItem="0" numFmtId="165"/>
  </dataFields>
  <chartFormats count="5">
    <chartFormat chart="0" format="1"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D34BBF-6F9F-461A-86ED-993E19321A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W3:Y6" firstHeaderRow="0" firstDataRow="1" firstDataCol="1"/>
  <pivotFields count="16">
    <pivotField numFmtId="14" showAll="0"/>
    <pivotField showAll="0">
      <items count="7">
        <item x="4"/>
        <item x="1"/>
        <item x="0"/>
        <item x="2"/>
        <item x="3"/>
        <item x="5"/>
        <item t="default"/>
      </items>
    </pivotField>
    <pivotField showAll="0">
      <items count="4">
        <item x="1"/>
        <item x="0"/>
        <item x="2"/>
        <item t="default"/>
      </items>
    </pivotField>
    <pivotField showAll="0">
      <items count="4">
        <item x="2"/>
        <item x="1"/>
        <item x="0"/>
        <item t="default"/>
      </items>
    </pivotField>
    <pivotField showAll="0"/>
    <pivotField showAll="0"/>
    <pivotField showAll="0"/>
    <pivotField showAll="0"/>
    <pivotField showAll="0"/>
    <pivotField axis="axisRow" showAll="0">
      <items count="3">
        <item x="0"/>
        <item x="1"/>
        <item t="default"/>
      </items>
    </pivotField>
    <pivotField showAll="0"/>
    <pivotField showAll="0"/>
    <pivotField dataField="1" showAll="0"/>
    <pivotField showAll="0"/>
    <pivotField dataField="1" numFmtId="10" showAll="0"/>
    <pivotField showAll="0" defaultSubtotal="0"/>
  </pivotFields>
  <rowFields count="1">
    <field x="9"/>
  </rowFields>
  <rowItems count="3">
    <i>
      <x/>
    </i>
    <i>
      <x v="1"/>
    </i>
    <i t="grand">
      <x/>
    </i>
  </rowItems>
  <colFields count="1">
    <field x="-2"/>
  </colFields>
  <colItems count="2">
    <i>
      <x/>
    </i>
    <i i="1">
      <x v="1"/>
    </i>
  </colItems>
  <dataFields count="2">
    <dataField name="Sum of Profit" fld="12" baseField="0" baseItem="0" numFmtId="164"/>
    <dataField name="Average of Profit Margin %" fld="14" subtotal="average" baseField="9" baseItem="0" numFmtId="165"/>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B306B6-4159-416B-BE3C-335BAD90CC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3:AD6" firstHeaderRow="1" firstDataRow="1" firstDataCol="1"/>
  <pivotFields count="16">
    <pivotField numFmtId="14" showAll="0"/>
    <pivotField showAll="0">
      <items count="7">
        <item x="4"/>
        <item x="1"/>
        <item x="0"/>
        <item x="2"/>
        <item x="3"/>
        <item x="5"/>
        <item t="default"/>
      </items>
    </pivotField>
    <pivotField showAll="0">
      <items count="4">
        <item x="1"/>
        <item x="0"/>
        <item x="2"/>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numFmtId="10" showAll="0"/>
    <pivotField showAll="0" defaultSubtotal="0"/>
  </pivotFields>
  <rowFields count="1">
    <field x="13"/>
  </rowFields>
  <rowItems count="3">
    <i>
      <x/>
    </i>
    <i>
      <x v="1"/>
    </i>
    <i t="grand">
      <x/>
    </i>
  </rowItems>
  <colItems count="1">
    <i/>
  </colItems>
  <dataFields count="1">
    <dataField name="Count of Profit Statu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4432DA-B912-481A-852D-ED161C1DB7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3:S10" firstHeaderRow="1" firstDataRow="1" firstDataCol="1"/>
  <pivotFields count="16">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4"/>
        <item x="1"/>
        <item x="0"/>
        <item x="2"/>
        <item x="3"/>
        <item x="5"/>
        <item t="default"/>
      </items>
    </pivotField>
    <pivotField showAll="0">
      <items count="4">
        <item x="1"/>
        <item x="0"/>
        <item x="2"/>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5"/>
    <field x="0"/>
  </rowFields>
  <rowItems count="7">
    <i>
      <x v="1"/>
    </i>
    <i>
      <x v="2"/>
    </i>
    <i>
      <x v="3"/>
    </i>
    <i>
      <x v="4"/>
    </i>
    <i>
      <x v="5"/>
    </i>
    <i>
      <x v="6"/>
    </i>
    <i t="grand">
      <x/>
    </i>
  </rowItems>
  <colItems count="1">
    <i/>
  </colItems>
  <dataFields count="1">
    <dataField name="Sum of Profit" fld="12" baseField="0" baseItem="0" numFmtId="164"/>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2" xr16:uid="{E7681935-DE63-4A37-9A3D-4E6D04235EA5}" autoFormatId="16" applyNumberFormats="0" applyBorderFormats="0" applyFontFormats="0" applyPatternFormats="0" applyAlignmentFormats="0" applyWidthHeightFormats="0">
  <queryTableRefresh nextId="3">
    <queryTableFields count="2">
      <queryTableField id="1" name="Depot" tableColumnId="1"/>
      <queryTableField id="2" name="Count logistics"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83DCCDB5-4769-4DBD-A55B-33C4730D82AC}" autoFormatId="16" applyNumberFormats="0" applyBorderFormats="0" applyFontFormats="0" applyPatternFormats="0" applyAlignmentFormats="0" applyWidthHeightFormats="0">
  <queryTableRefresh nextId="3">
    <queryTableFields count="2">
      <queryTableField id="1" name="Month Name" tableColumnId="1"/>
      <queryTableField id="2" name="Clean FX"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48F5B054-9555-4FD6-8B2F-D92731A06B03}" autoFormatId="16" applyNumberFormats="0" applyBorderFormats="0" applyFontFormats="0" applyPatternFormats="0" applyAlignmentFormats="0" applyWidthHeightFormats="0">
  <queryTableRefresh nextId="4">
    <queryTableFields count="3">
      <queryTableField id="1" name="Product" tableColumnId="1"/>
      <queryTableField id="2" name="Month Name" tableColumnId="2"/>
      <queryTableField id="3" name="S.Pric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1" xr16:uid="{0FA2E1FA-3ED4-4B7B-B62E-DE7C78597740}" autoFormatId="16" applyNumberFormats="0" applyBorderFormats="0" applyFontFormats="0" applyPatternFormats="0" applyAlignmentFormats="0" applyWidthHeightFormats="0">
  <queryTableRefresh nextId="4">
    <queryTableFields count="3">
      <queryTableField id="1" name="Product" tableColumnId="1"/>
      <queryTableField id="2" name="Month Name" tableColumnId="2"/>
      <queryTableField id="3" name="Cost Price Clean"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7AEF331D-92DF-4047-9818-E7E5935925AC}" autoFormatId="16" applyNumberFormats="0" applyBorderFormats="0" applyFontFormats="0" applyPatternFormats="0" applyAlignmentFormats="0" applyWidthHeightFormats="0">
  <queryTableRefresh nextId="4">
    <queryTableFields count="3">
      <queryTableField id="1" name="Product" tableColumnId="1"/>
      <queryTableField id="2" name="Depot" tableColumnId="2"/>
      <queryTableField id="3" name="Average Volumn"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6C196DD9-6B16-4D10-8D50-27CA564A1829}" autoFormatId="16" applyNumberFormats="0" applyBorderFormats="0" applyFontFormats="0" applyPatternFormats="0" applyAlignmentFormats="0" applyWidthHeightFormats="0">
  <queryTableRefresh nextId="16">
    <queryTableFields count="15">
      <queryTableField id="1" name="Transaction Date" tableColumnId="1"/>
      <queryTableField id="2" name="Month" tableColumnId="2"/>
      <queryTableField id="3" name="Product" tableColumnId="3"/>
      <queryTableField id="4" name="Region" tableColumnId="4"/>
      <queryTableField id="5" name="Depot" tableColumnId="5"/>
      <queryTableField id="6" name="Litres Sold" tableColumnId="6"/>
      <queryTableField id="7" name="Cost per Litre" tableColumnId="7"/>
      <queryTableField id="8" name="Selling Price per Litres" tableColumnId="8"/>
      <queryTableField id="9" name="Forex Rate" tableColumnId="9"/>
      <queryTableField id="14" dataBound="0" tableColumnId="14"/>
      <queryTableField id="10" name="Logistics" tableColumnId="10"/>
      <queryTableField id="11" name="Revenue" tableColumnId="11"/>
      <queryTableField id="12" name="Profit" tableColumnId="12"/>
      <queryTableField id="15" dataBound="0" tableColumnId="15"/>
      <queryTableField id="13" name="Profit Margin %"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0AE8A24-7254-4DC3-BB6E-F956AD3CA567}" sourceName="Product">
  <pivotTables>
    <pivotTable tabId="8" name="PivotTable1"/>
    <pivotTable tabId="8" name="PivotTable2"/>
    <pivotTable tabId="8" name="PivotTable3"/>
    <pivotTable tabId="8" name="PivotTable4"/>
    <pivotTable tabId="8" name="PivotTable5"/>
    <pivotTable tabId="8" name="PivotTable7"/>
  </pivotTables>
  <data>
    <tabular pivotCacheId="201367973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E7BFC7-7DA9-4AF5-A921-228D98699589}" sourceName="Region">
  <pivotTables>
    <pivotTable tabId="8" name="PivotTable1"/>
    <pivotTable tabId="8" name="PivotTable2"/>
    <pivotTable tabId="8" name="PivotTable3"/>
    <pivotTable tabId="8" name="PivotTable4"/>
    <pivotTable tabId="8" name="PivotTable5"/>
    <pivotTable tabId="8" name="PivotTable7"/>
  </pivotTables>
  <data>
    <tabular pivotCacheId="201367973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B657E95-299D-47F3-93CD-5732CC9D7020}" sourceName="Month">
  <pivotTables>
    <pivotTable tabId="8" name="PivotTable1"/>
    <pivotTable tabId="8" name="PivotTable2"/>
    <pivotTable tabId="8" name="PivotTable3"/>
    <pivotTable tabId="8" name="PivotTable4"/>
    <pivotTable tabId="8" name="PivotTable5"/>
    <pivotTable tabId="8" name="PivotTable7"/>
  </pivotTables>
  <data>
    <tabular pivotCacheId="2013679735">
      <items count="6">
        <i x="4" s="1"/>
        <i x="1" s="1"/>
        <i x="0"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3411D71-511B-494B-BBB1-4804F616C935}" cache="Slicer_Product" caption="Product" rowHeight="241300"/>
  <slicer name="Region" xr10:uid="{5EE78445-9762-4B34-B939-DC4080F9D64D}" cache="Slicer_Region" caption="Region" rowHeight="241300"/>
  <slicer name="Month" xr10:uid="{D280AD4A-75C4-4099-A014-923CB21C6BC3}" cache="Slicer_Month" caption="Month"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7D6C97-2210-455A-8D04-9C3A92DA615C}" name="Average_Logistics" displayName="Average_Logistics" ref="A1:B7" tableType="queryTable" totalsRowShown="0">
  <autoFilter ref="A1:B7" xr:uid="{0F7D6C97-2210-455A-8D04-9C3A92DA615C}"/>
  <tableColumns count="2">
    <tableColumn id="1" xr3:uid="{F7715DEA-0684-44CA-970C-5E0DEB658E41}" uniqueName="1" name="Depot" queryTableFieldId="1" dataDxfId="15"/>
    <tableColumn id="2" xr3:uid="{F8E59C9C-14FD-418E-B08D-18152E0EABE2}" uniqueName="2" name="Count logistics"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39E59E-0363-4D26-A42B-4F47AF37A46E}" name="Forex_Rate" displayName="Forex_Rate" ref="A1:B7" tableType="queryTable" totalsRowShown="0">
  <autoFilter ref="A1:B7" xr:uid="{8939E59E-0363-4D26-A42B-4F47AF37A46E}"/>
  <tableColumns count="2">
    <tableColumn id="1" xr3:uid="{9140BC50-0E4F-4493-B9FA-B2F197504EEA}" uniqueName="1" name="Month Name" queryTableFieldId="1" dataDxfId="14"/>
    <tableColumn id="2" xr3:uid="{6128413D-11C3-4433-AC2C-8D04DFDD0AC1}" uniqueName="2" name="Clean FX"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3AD73D-4E87-4F2B-A6A5-33DB85EABF3A}" name="Average_Selling_Price" displayName="Average_Selling_Price" ref="A1:C19" tableType="queryTable" totalsRowShown="0">
  <autoFilter ref="A1:C19" xr:uid="{973AD73D-4E87-4F2B-A6A5-33DB85EABF3A}"/>
  <tableColumns count="3">
    <tableColumn id="1" xr3:uid="{D905DF3B-DA85-4E47-A74A-F04E4001412D}" uniqueName="1" name="Product" queryTableFieldId="1" dataDxfId="13"/>
    <tableColumn id="2" xr3:uid="{9283880C-0FA4-4FB7-B340-0CB872CDFBE1}" uniqueName="2" name="Month Name" queryTableFieldId="2" dataDxfId="12"/>
    <tableColumn id="3" xr3:uid="{BBB197E3-F8C7-4D6B-B40A-F8E1EDE2E668}" uniqueName="3" name="S.Price"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E99B3D-79E1-4FD8-866F-24A183CD8641}" name="Average_Cost_price" displayName="Average_Cost_price" ref="A1:C19" tableType="queryTable" totalsRowShown="0">
  <autoFilter ref="A1:C19" xr:uid="{C3E99B3D-79E1-4FD8-866F-24A183CD8641}"/>
  <tableColumns count="3">
    <tableColumn id="1" xr3:uid="{F1149AC2-A1C6-4D89-AFC6-A2B1D4325672}" uniqueName="1" name="Product" queryTableFieldId="1" dataDxfId="11"/>
    <tableColumn id="2" xr3:uid="{4038F210-6278-4F34-9C9C-2123D05152A9}" uniqueName="2" name="Month Name" queryTableFieldId="2" dataDxfId="10"/>
    <tableColumn id="3" xr3:uid="{05EDDE80-A278-49AA-8013-7459D19996D8}" uniqueName="3" name="Cost Price Clean"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7D9244-6FB0-4DFB-837B-4E2E95F80C89}" name="Average_Volume" displayName="Average_Volume" ref="A1:C19" tableType="queryTable" totalsRowShown="0">
  <autoFilter ref="A1:C19" xr:uid="{E97D9244-6FB0-4DFB-837B-4E2E95F80C89}"/>
  <tableColumns count="3">
    <tableColumn id="1" xr3:uid="{3731A071-6C4E-4D64-AF48-B9CEDC7506B5}" uniqueName="1" name="Product" queryTableFieldId="1" dataDxfId="9"/>
    <tableColumn id="2" xr3:uid="{06437645-91F2-432B-B992-9435EF5592E6}" uniqueName="2" name="Depot" queryTableFieldId="2" dataDxfId="8"/>
    <tableColumn id="3" xr3:uid="{4C7EA4B7-4150-4985-953B-95A8836B568F}" uniqueName="3" name="Average Volumn"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94F3286-94AA-422D-AEBE-98889FC6EF19}" name="Sales_Data" displayName="Sales_Data" ref="A3:O303" tableType="queryTable" totalsRowShown="0">
  <autoFilter ref="A3:O303" xr:uid="{C94F3286-94AA-422D-AEBE-98889FC6EF19}"/>
  <tableColumns count="15">
    <tableColumn id="1" xr3:uid="{A31C06A6-6BDE-4121-8D63-10D4F937966C}" uniqueName="1" name="Transaction Date" queryTableFieldId="1" dataDxfId="7"/>
    <tableColumn id="2" xr3:uid="{02F3B9FA-6B37-4DC1-B5D4-B9A533BFE73F}" uniqueName="2" name="Month" queryTableFieldId="2" dataDxfId="6"/>
    <tableColumn id="3" xr3:uid="{278F09F1-A438-43D1-A228-528944ED6EAF}" uniqueName="3" name="Product" queryTableFieldId="3" dataDxfId="5"/>
    <tableColumn id="4" xr3:uid="{3C4C2ED5-62D8-43A0-8914-34BF83E7A5E0}" uniqueName="4" name="Region" queryTableFieldId="4" dataDxfId="4"/>
    <tableColumn id="5" xr3:uid="{4D4EA2C3-F88D-4D30-9FA2-EC271FC80937}" uniqueName="5" name="Depot" queryTableFieldId="5" dataDxfId="3"/>
    <tableColumn id="6" xr3:uid="{B07EF7F5-E3E9-45D5-BC0E-46CB78BDE3F1}" uniqueName="6" name="Litres Sold" queryTableFieldId="6"/>
    <tableColumn id="7" xr3:uid="{C2B3760F-504C-472A-B87F-9759EFFE0C5D}" uniqueName="7" name="Cost per Litre" queryTableFieldId="7"/>
    <tableColumn id="8" xr3:uid="{AF4A5D5A-D0E6-4ADE-A5A8-C384FB7FA83F}" uniqueName="8" name="Selling Price per Litres" queryTableFieldId="8"/>
    <tableColumn id="9" xr3:uid="{5DA96EB4-F548-4481-8E8B-125B7B66A1B1}" uniqueName="9" name="Forex Rate" queryTableFieldId="9"/>
    <tableColumn id="14" xr3:uid="{C1B8EEF8-C76F-4795-A027-ED9D4B461B7F}" uniqueName="14" name="Forex Band" queryTableFieldId="14" dataDxfId="2">
      <calculatedColumnFormula>IF(Sales_Data[[#This Row],[Forex Rate]]&lt;900,"Below 900",IF(Sales_Data[[#This Row],[Forex Rate]]&lt;1100,"900–1099",IF(Sales_Data[[#This Row],[Forex Rate]]&lt;1300,"1100–1299","1300+")))</calculatedColumnFormula>
    </tableColumn>
    <tableColumn id="10" xr3:uid="{DDD1BEC6-341B-4A28-9A7A-A1C9D2241328}" uniqueName="10" name="Logistics" queryTableFieldId="10"/>
    <tableColumn id="11" xr3:uid="{1552E060-733C-49D9-94B0-3BCB31569D60}" uniqueName="11" name="Revenue" queryTableFieldId="11"/>
    <tableColumn id="12" xr3:uid="{EF702B88-3AFE-4506-B549-16C296C2BC4B}" uniqueName="12" name="Profit" queryTableFieldId="12"/>
    <tableColumn id="15" xr3:uid="{CEE837F5-BB63-467A-9EBB-AABEE05A7BBD}" uniqueName="15" name="Profit Status" queryTableFieldId="15" dataDxfId="1">
      <calculatedColumnFormula>IF(Sales_Data[[#This Row],[Profit]]&lt;0,"Loss","Profit")</calculatedColumnFormula>
    </tableColumn>
    <tableColumn id="13" xr3:uid="{1CB1E60D-6D68-4E0A-90A7-BEB0CF56AC87}" uniqueName="13" name="Profit Margin %"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A81C3-FEAF-47E3-952F-9A0E3517143C}">
  <dimension ref="A1:B7"/>
  <sheetViews>
    <sheetView workbookViewId="0">
      <selection sqref="A1:B7"/>
    </sheetView>
  </sheetViews>
  <sheetFormatPr defaultRowHeight="15" x14ac:dyDescent="0.25"/>
  <cols>
    <col min="1" max="1" width="12.7109375" bestFit="1" customWidth="1"/>
    <col min="2" max="2" width="16.28515625" bestFit="1" customWidth="1"/>
  </cols>
  <sheetData>
    <row r="1" spans="1:2" x14ac:dyDescent="0.25">
      <c r="A1" t="s">
        <v>1</v>
      </c>
      <c r="B1" t="s">
        <v>22</v>
      </c>
    </row>
    <row r="2" spans="1:2" x14ac:dyDescent="0.25">
      <c r="A2" t="s">
        <v>4</v>
      </c>
      <c r="B2">
        <v>697375.04761904757</v>
      </c>
    </row>
    <row r="3" spans="1:2" x14ac:dyDescent="0.25">
      <c r="A3" t="s">
        <v>5</v>
      </c>
      <c r="B3">
        <v>680424.63636363635</v>
      </c>
    </row>
    <row r="4" spans="1:2" x14ac:dyDescent="0.25">
      <c r="A4" t="s">
        <v>11</v>
      </c>
      <c r="B4">
        <v>642323.15909090906</v>
      </c>
    </row>
    <row r="5" spans="1:2" x14ac:dyDescent="0.25">
      <c r="A5" t="s">
        <v>7</v>
      </c>
      <c r="B5">
        <v>649483.79310344835</v>
      </c>
    </row>
    <row r="6" spans="1:2" x14ac:dyDescent="0.25">
      <c r="A6" t="s">
        <v>8</v>
      </c>
      <c r="B6">
        <v>675852.24137931038</v>
      </c>
    </row>
    <row r="7" spans="1:2" x14ac:dyDescent="0.25">
      <c r="A7" t="s">
        <v>10</v>
      </c>
      <c r="B7">
        <v>743994.65789473685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DC574-4A69-45A7-9DEE-381288F0817D}">
  <dimension ref="A1:B7"/>
  <sheetViews>
    <sheetView workbookViewId="0">
      <selection sqref="A1:B7"/>
    </sheetView>
  </sheetViews>
  <sheetFormatPr defaultRowHeight="15" x14ac:dyDescent="0.25"/>
  <cols>
    <col min="1" max="1" width="15" bestFit="1" customWidth="1"/>
    <col min="2" max="2" width="12" bestFit="1" customWidth="1"/>
  </cols>
  <sheetData>
    <row r="1" spans="1:2" x14ac:dyDescent="0.25">
      <c r="A1" t="s">
        <v>12</v>
      </c>
      <c r="B1" t="s">
        <v>21</v>
      </c>
    </row>
    <row r="2" spans="1:2" x14ac:dyDescent="0.25">
      <c r="A2" t="s">
        <v>14</v>
      </c>
      <c r="B2">
        <v>1405.2778378378378</v>
      </c>
    </row>
    <row r="3" spans="1:2" x14ac:dyDescent="0.25">
      <c r="A3" t="s">
        <v>15</v>
      </c>
      <c r="B3">
        <v>1390.59</v>
      </c>
    </row>
    <row r="4" spans="1:2" x14ac:dyDescent="0.25">
      <c r="A4" t="s">
        <v>16</v>
      </c>
      <c r="B4">
        <v>1422.074193548387</v>
      </c>
    </row>
    <row r="5" spans="1:2" x14ac:dyDescent="0.25">
      <c r="A5" t="s">
        <v>17</v>
      </c>
      <c r="B5">
        <v>1401.2142424242425</v>
      </c>
    </row>
    <row r="6" spans="1:2" x14ac:dyDescent="0.25">
      <c r="A6" t="s">
        <v>18</v>
      </c>
      <c r="B6">
        <v>1400.2038461538461</v>
      </c>
    </row>
    <row r="7" spans="1:2" x14ac:dyDescent="0.25">
      <c r="A7" t="s">
        <v>19</v>
      </c>
      <c r="B7">
        <v>1388.6642857142856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22CED-2317-4A08-B1EB-568D051D7A32}">
  <dimension ref="A1:C19"/>
  <sheetViews>
    <sheetView workbookViewId="0">
      <selection sqref="A1:C19"/>
    </sheetView>
  </sheetViews>
  <sheetFormatPr defaultRowHeight="15" x14ac:dyDescent="0.25"/>
  <cols>
    <col min="1" max="1" width="10.140625" bestFit="1" customWidth="1"/>
    <col min="2" max="2" width="15" bestFit="1" customWidth="1"/>
    <col min="3" max="3" width="12" bestFit="1" customWidth="1"/>
  </cols>
  <sheetData>
    <row r="1" spans="1:3" x14ac:dyDescent="0.25">
      <c r="A1" t="s">
        <v>0</v>
      </c>
      <c r="B1" t="s">
        <v>12</v>
      </c>
      <c r="C1" t="s">
        <v>20</v>
      </c>
    </row>
    <row r="2" spans="1:3" x14ac:dyDescent="0.25">
      <c r="A2" t="s">
        <v>3</v>
      </c>
      <c r="B2" t="s">
        <v>14</v>
      </c>
      <c r="C2">
        <v>657.78466666666668</v>
      </c>
    </row>
    <row r="3" spans="1:3" x14ac:dyDescent="0.25">
      <c r="A3" t="s">
        <v>3</v>
      </c>
      <c r="B3" t="s">
        <v>15</v>
      </c>
      <c r="C3">
        <v>636.86222222222227</v>
      </c>
    </row>
    <row r="4" spans="1:3" x14ac:dyDescent="0.25">
      <c r="A4" t="s">
        <v>3</v>
      </c>
      <c r="B4" t="s">
        <v>16</v>
      </c>
      <c r="C4">
        <v>635.94176470588241</v>
      </c>
    </row>
    <row r="5" spans="1:3" x14ac:dyDescent="0.25">
      <c r="A5" t="s">
        <v>3</v>
      </c>
      <c r="B5" t="s">
        <v>17</v>
      </c>
      <c r="C5">
        <v>691.41764705882349</v>
      </c>
    </row>
    <row r="6" spans="1:3" x14ac:dyDescent="0.25">
      <c r="A6" t="s">
        <v>6</v>
      </c>
      <c r="B6" t="s">
        <v>17</v>
      </c>
      <c r="C6">
        <v>673.3835294117647</v>
      </c>
    </row>
    <row r="7" spans="1:3" x14ac:dyDescent="0.25">
      <c r="A7" t="s">
        <v>6</v>
      </c>
      <c r="B7" t="s">
        <v>18</v>
      </c>
      <c r="C7">
        <v>638.36071428571427</v>
      </c>
    </row>
    <row r="8" spans="1:3" x14ac:dyDescent="0.25">
      <c r="A8" t="s">
        <v>6</v>
      </c>
      <c r="B8" t="s">
        <v>19</v>
      </c>
      <c r="C8">
        <v>630.69214285714281</v>
      </c>
    </row>
    <row r="9" spans="1:3" x14ac:dyDescent="0.25">
      <c r="A9" t="s">
        <v>3</v>
      </c>
      <c r="B9" t="s">
        <v>19</v>
      </c>
      <c r="C9">
        <v>664.12249999999995</v>
      </c>
    </row>
    <row r="10" spans="1:3" x14ac:dyDescent="0.25">
      <c r="A10" t="s">
        <v>9</v>
      </c>
      <c r="B10" t="s">
        <v>17</v>
      </c>
      <c r="C10">
        <v>597.57818181818186</v>
      </c>
    </row>
    <row r="11" spans="1:3" x14ac:dyDescent="0.25">
      <c r="A11" t="s">
        <v>9</v>
      </c>
      <c r="B11" t="s">
        <v>14</v>
      </c>
      <c r="C11">
        <v>652.60699999999997</v>
      </c>
    </row>
    <row r="12" spans="1:3" x14ac:dyDescent="0.25">
      <c r="A12" t="s">
        <v>9</v>
      </c>
      <c r="B12" t="s">
        <v>18</v>
      </c>
      <c r="C12">
        <v>685.55333333333328</v>
      </c>
    </row>
    <row r="13" spans="1:3" x14ac:dyDescent="0.25">
      <c r="A13" t="s">
        <v>9</v>
      </c>
      <c r="B13" t="s">
        <v>19</v>
      </c>
      <c r="C13">
        <v>651.2136363636364</v>
      </c>
    </row>
    <row r="14" spans="1:3" x14ac:dyDescent="0.25">
      <c r="A14" t="s">
        <v>9</v>
      </c>
      <c r="B14" t="s">
        <v>16</v>
      </c>
      <c r="C14">
        <v>754.20230769230773</v>
      </c>
    </row>
    <row r="15" spans="1:3" x14ac:dyDescent="0.25">
      <c r="A15" t="s">
        <v>6</v>
      </c>
      <c r="B15" t="s">
        <v>16</v>
      </c>
      <c r="C15">
        <v>678.02133333333336</v>
      </c>
    </row>
    <row r="16" spans="1:3" x14ac:dyDescent="0.25">
      <c r="A16" t="s">
        <v>9</v>
      </c>
      <c r="B16" t="s">
        <v>15</v>
      </c>
      <c r="C16">
        <v>660.98285714285714</v>
      </c>
    </row>
    <row r="17" spans="1:3" x14ac:dyDescent="0.25">
      <c r="A17" t="s">
        <v>6</v>
      </c>
      <c r="B17" t="s">
        <v>14</v>
      </c>
      <c r="C17">
        <v>653.66294117647055</v>
      </c>
    </row>
    <row r="18" spans="1:3" x14ac:dyDescent="0.25">
      <c r="A18" t="s">
        <v>3</v>
      </c>
      <c r="B18" t="s">
        <v>18</v>
      </c>
      <c r="C18">
        <v>676.33699999999999</v>
      </c>
    </row>
    <row r="19" spans="1:3" x14ac:dyDescent="0.25">
      <c r="A19" t="s">
        <v>6</v>
      </c>
      <c r="B19" t="s">
        <v>15</v>
      </c>
      <c r="C19">
        <v>706.5176923076923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1EE1-5395-4FF6-B13E-2749DCF471DE}">
  <dimension ref="A1:C19"/>
  <sheetViews>
    <sheetView workbookViewId="0">
      <selection sqref="A1:C19"/>
    </sheetView>
  </sheetViews>
  <sheetFormatPr defaultRowHeight="15" x14ac:dyDescent="0.25"/>
  <cols>
    <col min="1" max="1" width="10.140625" bestFit="1" customWidth="1"/>
    <col min="2" max="2" width="15" bestFit="1" customWidth="1"/>
    <col min="3" max="3" width="17.5703125" bestFit="1" customWidth="1"/>
  </cols>
  <sheetData>
    <row r="1" spans="1:3" x14ac:dyDescent="0.25">
      <c r="A1" t="s">
        <v>0</v>
      </c>
      <c r="B1" t="s">
        <v>12</v>
      </c>
      <c r="C1" t="s">
        <v>13</v>
      </c>
    </row>
    <row r="2" spans="1:3" x14ac:dyDescent="0.25">
      <c r="A2" t="s">
        <v>3</v>
      </c>
      <c r="B2" t="s">
        <v>14</v>
      </c>
      <c r="C2">
        <v>600.79999999999995</v>
      </c>
    </row>
    <row r="3" spans="1:3" x14ac:dyDescent="0.25">
      <c r="A3" t="s">
        <v>3</v>
      </c>
      <c r="B3" t="s">
        <v>15</v>
      </c>
      <c r="C3">
        <v>549.66666666666663</v>
      </c>
    </row>
    <row r="4" spans="1:3" x14ac:dyDescent="0.25">
      <c r="A4" t="s">
        <v>3</v>
      </c>
      <c r="B4" t="s">
        <v>16</v>
      </c>
      <c r="C4">
        <v>566.5454545454545</v>
      </c>
    </row>
    <row r="5" spans="1:3" x14ac:dyDescent="0.25">
      <c r="A5" t="s">
        <v>3</v>
      </c>
      <c r="B5" t="s">
        <v>17</v>
      </c>
      <c r="C5">
        <v>595.71428571428567</v>
      </c>
    </row>
    <row r="6" spans="1:3" x14ac:dyDescent="0.25">
      <c r="A6" t="s">
        <v>6</v>
      </c>
      <c r="B6" t="s">
        <v>17</v>
      </c>
      <c r="C6">
        <v>594.79999999999995</v>
      </c>
    </row>
    <row r="7" spans="1:3" x14ac:dyDescent="0.25">
      <c r="A7" t="s">
        <v>6</v>
      </c>
      <c r="B7" t="s">
        <v>18</v>
      </c>
      <c r="C7">
        <v>576.09090909090912</v>
      </c>
    </row>
    <row r="8" spans="1:3" x14ac:dyDescent="0.25">
      <c r="A8" t="s">
        <v>6</v>
      </c>
      <c r="B8" t="s">
        <v>19</v>
      </c>
      <c r="C8">
        <v>574.38461538461536</v>
      </c>
    </row>
    <row r="9" spans="1:3" x14ac:dyDescent="0.25">
      <c r="A9" t="s">
        <v>3</v>
      </c>
      <c r="B9" t="s">
        <v>19</v>
      </c>
      <c r="C9">
        <v>562.6</v>
      </c>
    </row>
    <row r="10" spans="1:3" x14ac:dyDescent="0.25">
      <c r="A10" t="s">
        <v>9</v>
      </c>
      <c r="B10" t="s">
        <v>17</v>
      </c>
      <c r="C10">
        <v>563.28571428571433</v>
      </c>
    </row>
    <row r="11" spans="1:3" x14ac:dyDescent="0.25">
      <c r="A11" t="s">
        <v>9</v>
      </c>
      <c r="B11" t="s">
        <v>14</v>
      </c>
      <c r="C11">
        <v>540.30769230769226</v>
      </c>
    </row>
    <row r="12" spans="1:3" x14ac:dyDescent="0.25">
      <c r="A12" t="s">
        <v>9</v>
      </c>
      <c r="B12" t="s">
        <v>18</v>
      </c>
      <c r="C12">
        <v>655.875</v>
      </c>
    </row>
    <row r="13" spans="1:3" x14ac:dyDescent="0.25">
      <c r="A13" t="s">
        <v>9</v>
      </c>
      <c r="B13" t="s">
        <v>19</v>
      </c>
      <c r="C13">
        <v>579.25</v>
      </c>
    </row>
    <row r="14" spans="1:3" x14ac:dyDescent="0.25">
      <c r="A14" t="s">
        <v>9</v>
      </c>
      <c r="B14" t="s">
        <v>16</v>
      </c>
      <c r="C14">
        <v>591.27272727272725</v>
      </c>
    </row>
    <row r="15" spans="1:3" x14ac:dyDescent="0.25">
      <c r="A15" t="s">
        <v>6</v>
      </c>
      <c r="B15" t="s">
        <v>16</v>
      </c>
      <c r="C15">
        <v>581.92307692307691</v>
      </c>
    </row>
    <row r="16" spans="1:3" x14ac:dyDescent="0.25">
      <c r="A16" t="s">
        <v>9</v>
      </c>
      <c r="B16" t="s">
        <v>15</v>
      </c>
      <c r="C16">
        <v>532.5</v>
      </c>
    </row>
    <row r="17" spans="1:3" x14ac:dyDescent="0.25">
      <c r="A17" t="s">
        <v>6</v>
      </c>
      <c r="B17" t="s">
        <v>14</v>
      </c>
      <c r="C17">
        <v>565.875</v>
      </c>
    </row>
    <row r="18" spans="1:3" x14ac:dyDescent="0.25">
      <c r="A18" t="s">
        <v>3</v>
      </c>
      <c r="B18" t="s">
        <v>18</v>
      </c>
      <c r="C18">
        <v>604.28571428571433</v>
      </c>
    </row>
    <row r="19" spans="1:3" x14ac:dyDescent="0.25">
      <c r="A19" t="s">
        <v>6</v>
      </c>
      <c r="B19" t="s">
        <v>15</v>
      </c>
      <c r="C19">
        <v>601.5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60A1-7835-4090-9A20-F410DDA009C1}">
  <dimension ref="A1:C19"/>
  <sheetViews>
    <sheetView workbookViewId="0">
      <selection sqref="A1:C19"/>
    </sheetView>
  </sheetViews>
  <sheetFormatPr defaultRowHeight="15" x14ac:dyDescent="0.25"/>
  <cols>
    <col min="1" max="1" width="10.140625" bestFit="1" customWidth="1"/>
    <col min="2" max="2" width="12.7109375" bestFit="1" customWidth="1"/>
    <col min="3" max="3" width="18.140625" bestFit="1" customWidth="1"/>
  </cols>
  <sheetData>
    <row r="1" spans="1:3" x14ac:dyDescent="0.25">
      <c r="A1" t="s">
        <v>0</v>
      </c>
      <c r="B1" t="s">
        <v>1</v>
      </c>
      <c r="C1" t="s">
        <v>2</v>
      </c>
    </row>
    <row r="2" spans="1:3" x14ac:dyDescent="0.25">
      <c r="A2" t="s">
        <v>3</v>
      </c>
      <c r="B2" t="s">
        <v>4</v>
      </c>
      <c r="C2">
        <v>24579.636363636364</v>
      </c>
    </row>
    <row r="3" spans="1:3" x14ac:dyDescent="0.25">
      <c r="A3" t="s">
        <v>3</v>
      </c>
      <c r="B3" t="s">
        <v>5</v>
      </c>
      <c r="C3">
        <v>23880.333333333332</v>
      </c>
    </row>
    <row r="4" spans="1:3" x14ac:dyDescent="0.25">
      <c r="A4" t="s">
        <v>6</v>
      </c>
      <c r="B4" t="s">
        <v>5</v>
      </c>
      <c r="C4">
        <v>21279.857142857145</v>
      </c>
    </row>
    <row r="5" spans="1:3" x14ac:dyDescent="0.25">
      <c r="A5" t="s">
        <v>6</v>
      </c>
      <c r="B5" t="s">
        <v>7</v>
      </c>
      <c r="C5">
        <v>25353.5</v>
      </c>
    </row>
    <row r="6" spans="1:3" x14ac:dyDescent="0.25">
      <c r="A6" t="s">
        <v>3</v>
      </c>
      <c r="B6" t="s">
        <v>8</v>
      </c>
      <c r="C6">
        <v>26123.81818181818</v>
      </c>
    </row>
    <row r="7" spans="1:3" x14ac:dyDescent="0.25">
      <c r="A7" t="s">
        <v>9</v>
      </c>
      <c r="B7" t="s">
        <v>5</v>
      </c>
      <c r="C7">
        <v>22232.428571428572</v>
      </c>
    </row>
    <row r="8" spans="1:3" x14ac:dyDescent="0.25">
      <c r="A8" t="s">
        <v>9</v>
      </c>
      <c r="B8" t="s">
        <v>10</v>
      </c>
      <c r="C8">
        <v>23785.857142857145</v>
      </c>
    </row>
    <row r="9" spans="1:3" x14ac:dyDescent="0.25">
      <c r="A9" t="s">
        <v>6</v>
      </c>
      <c r="B9" t="s">
        <v>11</v>
      </c>
      <c r="C9">
        <v>21373.083333333332</v>
      </c>
    </row>
    <row r="10" spans="1:3" x14ac:dyDescent="0.25">
      <c r="A10" t="s">
        <v>9</v>
      </c>
      <c r="B10" t="s">
        <v>8</v>
      </c>
      <c r="C10">
        <v>21284.833333333336</v>
      </c>
    </row>
    <row r="11" spans="1:3" x14ac:dyDescent="0.25">
      <c r="A11" t="s">
        <v>3</v>
      </c>
      <c r="B11" t="s">
        <v>11</v>
      </c>
      <c r="C11">
        <v>24418.055555555555</v>
      </c>
    </row>
    <row r="12" spans="1:3" x14ac:dyDescent="0.25">
      <c r="A12" t="s">
        <v>9</v>
      </c>
      <c r="B12" t="s">
        <v>11</v>
      </c>
      <c r="C12">
        <v>22370.941176470587</v>
      </c>
    </row>
    <row r="13" spans="1:3" x14ac:dyDescent="0.25">
      <c r="A13" t="s">
        <v>6</v>
      </c>
      <c r="B13" t="s">
        <v>4</v>
      </c>
      <c r="C13">
        <v>19983.153846153844</v>
      </c>
    </row>
    <row r="14" spans="1:3" x14ac:dyDescent="0.25">
      <c r="A14" t="s">
        <v>9</v>
      </c>
      <c r="B14" t="s">
        <v>7</v>
      </c>
      <c r="C14">
        <v>29490.545454545456</v>
      </c>
    </row>
    <row r="15" spans="1:3" x14ac:dyDescent="0.25">
      <c r="A15" t="s">
        <v>3</v>
      </c>
      <c r="B15" t="s">
        <v>10</v>
      </c>
      <c r="C15">
        <v>22250.583333333332</v>
      </c>
    </row>
    <row r="16" spans="1:3" x14ac:dyDescent="0.25">
      <c r="A16" t="s">
        <v>9</v>
      </c>
      <c r="B16" t="s">
        <v>4</v>
      </c>
      <c r="C16">
        <v>24703.111111111109</v>
      </c>
    </row>
    <row r="17" spans="1:3" x14ac:dyDescent="0.25">
      <c r="A17" t="s">
        <v>3</v>
      </c>
      <c r="B17" t="s">
        <v>7</v>
      </c>
      <c r="C17">
        <v>24905.599999999999</v>
      </c>
    </row>
    <row r="18" spans="1:3" x14ac:dyDescent="0.25">
      <c r="A18" t="s">
        <v>6</v>
      </c>
      <c r="B18" t="s">
        <v>10</v>
      </c>
      <c r="C18">
        <v>27380.8125</v>
      </c>
    </row>
    <row r="19" spans="1:3" x14ac:dyDescent="0.25">
      <c r="A19" t="s">
        <v>6</v>
      </c>
      <c r="B19" t="s">
        <v>8</v>
      </c>
      <c r="C19">
        <v>17892.222222222223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0F8EF-6980-4434-A861-D3CDEA0A9E05}">
  <dimension ref="A1:O303"/>
  <sheetViews>
    <sheetView tabSelected="1" workbookViewId="0">
      <selection activeCell="H13" sqref="H13"/>
    </sheetView>
  </sheetViews>
  <sheetFormatPr defaultRowHeight="15" x14ac:dyDescent="0.25"/>
  <cols>
    <col min="1" max="1" width="18.140625" bestFit="1" customWidth="1"/>
    <col min="2" max="2" width="9.28515625" bestFit="1" customWidth="1"/>
    <col min="3" max="3" width="10.140625" bestFit="1" customWidth="1"/>
    <col min="4" max="4" width="12" bestFit="1" customWidth="1"/>
    <col min="5" max="5" width="12.7109375" bestFit="1" customWidth="1"/>
    <col min="6" max="6" width="12.42578125" bestFit="1" customWidth="1"/>
    <col min="7" max="7" width="15" bestFit="1" customWidth="1"/>
    <col min="8" max="8" width="23.140625" bestFit="1" customWidth="1"/>
    <col min="9" max="9" width="12.7109375" bestFit="1" customWidth="1"/>
    <col min="10" max="10" width="13.140625" bestFit="1" customWidth="1"/>
    <col min="11" max="11" width="10.7109375" bestFit="1" customWidth="1"/>
    <col min="12" max="12" width="11.140625" bestFit="1" customWidth="1"/>
    <col min="13" max="13" width="9" bestFit="1" customWidth="1"/>
    <col min="14" max="14" width="14.140625" bestFit="1" customWidth="1"/>
    <col min="15" max="15" width="17.140625" style="2" bestFit="1" customWidth="1"/>
  </cols>
  <sheetData>
    <row r="1" spans="1:15" s="8" customFormat="1" ht="26.25" x14ac:dyDescent="0.4">
      <c r="A1" s="8" t="s">
        <v>51</v>
      </c>
      <c r="O1" s="9"/>
    </row>
    <row r="3" spans="1:15" x14ac:dyDescent="0.25">
      <c r="A3" t="s">
        <v>23</v>
      </c>
      <c r="B3" t="s">
        <v>24</v>
      </c>
      <c r="C3" t="s">
        <v>0</v>
      </c>
      <c r="D3" t="s">
        <v>25</v>
      </c>
      <c r="E3" t="s">
        <v>1</v>
      </c>
      <c r="F3" t="s">
        <v>26</v>
      </c>
      <c r="G3" t="s">
        <v>27</v>
      </c>
      <c r="H3" t="s">
        <v>28</v>
      </c>
      <c r="I3" t="s">
        <v>29</v>
      </c>
      <c r="J3" t="s">
        <v>52</v>
      </c>
      <c r="K3" t="s">
        <v>30</v>
      </c>
      <c r="L3" t="s">
        <v>31</v>
      </c>
      <c r="M3" t="s">
        <v>32</v>
      </c>
      <c r="N3" t="s">
        <v>56</v>
      </c>
      <c r="O3" s="2" t="s">
        <v>33</v>
      </c>
    </row>
    <row r="4" spans="1:15" x14ac:dyDescent="0.25">
      <c r="A4" s="1">
        <v>45728</v>
      </c>
      <c r="B4" t="s">
        <v>14</v>
      </c>
      <c r="C4" t="s">
        <v>3</v>
      </c>
      <c r="D4" t="s">
        <v>34</v>
      </c>
      <c r="E4" t="s">
        <v>4</v>
      </c>
      <c r="F4">
        <v>24580</v>
      </c>
      <c r="G4">
        <v>601</v>
      </c>
      <c r="H4">
        <v>489</v>
      </c>
      <c r="I4">
        <v>1213</v>
      </c>
      <c r="J4" t="str">
        <f>IF(Sales_Data[[#This Row],[Forex Rate]]&lt;900,"Below 900",IF(Sales_Data[[#This Row],[Forex Rate]]&lt;1100,"900–1099",IF(Sales_Data[[#This Row],[Forex Rate]]&lt;1300,"1100–1299","1300+")))</f>
        <v>1100–1299</v>
      </c>
      <c r="K4">
        <v>729903</v>
      </c>
      <c r="L4">
        <v>12019620</v>
      </c>
      <c r="M4">
        <v>-3482863</v>
      </c>
      <c r="N4" t="str">
        <f>IF(Sales_Data[[#This Row],[Profit]]&lt;0,"Loss","Profit")</f>
        <v>Loss</v>
      </c>
      <c r="O4" s="2">
        <v>-0.289764817856139</v>
      </c>
    </row>
    <row r="5" spans="1:15" x14ac:dyDescent="0.25">
      <c r="A5" s="1">
        <v>45714</v>
      </c>
      <c r="B5" t="s">
        <v>15</v>
      </c>
      <c r="C5" t="s">
        <v>3</v>
      </c>
      <c r="D5" t="s">
        <v>34</v>
      </c>
      <c r="E5" t="s">
        <v>5</v>
      </c>
      <c r="F5">
        <v>43618</v>
      </c>
      <c r="G5">
        <v>468</v>
      </c>
      <c r="H5">
        <v>520</v>
      </c>
      <c r="I5">
        <v>1352</v>
      </c>
      <c r="J5" t="str">
        <f>IF(Sales_Data[[#This Row],[Forex Rate]]&lt;900,"Below 900",IF(Sales_Data[[#This Row],[Forex Rate]]&lt;1100,"900–1099",IF(Sales_Data[[#This Row],[Forex Rate]]&lt;1300,"1100–1299","1300+")))</f>
        <v>1300+</v>
      </c>
      <c r="K5">
        <v>680425</v>
      </c>
      <c r="L5">
        <v>22681360</v>
      </c>
      <c r="M5">
        <v>1587711</v>
      </c>
      <c r="N5" t="str">
        <f>IF(Sales_Data[[#This Row],[Profit]]&lt;0,"Loss","Profit")</f>
        <v>Profit</v>
      </c>
      <c r="O5" s="2">
        <v>7.0000696607258106E-2</v>
      </c>
    </row>
    <row r="6" spans="1:15" x14ac:dyDescent="0.25">
      <c r="A6" s="1">
        <v>45755</v>
      </c>
      <c r="B6" t="s">
        <v>16</v>
      </c>
      <c r="C6" t="s">
        <v>3</v>
      </c>
      <c r="D6" t="s">
        <v>34</v>
      </c>
      <c r="E6" t="s">
        <v>5</v>
      </c>
      <c r="F6">
        <v>23880</v>
      </c>
      <c r="G6">
        <v>567</v>
      </c>
      <c r="H6">
        <v>502</v>
      </c>
      <c r="I6">
        <v>1336</v>
      </c>
      <c r="J6" t="str">
        <f>IF(Sales_Data[[#This Row],[Forex Rate]]&lt;900,"Below 900",IF(Sales_Data[[#This Row],[Forex Rate]]&lt;1100,"900–1099",IF(Sales_Data[[#This Row],[Forex Rate]]&lt;1300,"1100–1299","1300+")))</f>
        <v>1300+</v>
      </c>
      <c r="K6">
        <v>365840</v>
      </c>
      <c r="L6">
        <v>11987760</v>
      </c>
      <c r="M6">
        <v>-1918040</v>
      </c>
      <c r="N6" t="str">
        <f>IF(Sales_Data[[#This Row],[Profit]]&lt;0,"Loss","Profit")</f>
        <v>Loss</v>
      </c>
      <c r="O6" s="2">
        <v>-0.159999866530528</v>
      </c>
    </row>
    <row r="7" spans="1:15" x14ac:dyDescent="0.25">
      <c r="A7" s="1">
        <v>45793</v>
      </c>
      <c r="B7" t="s">
        <v>17</v>
      </c>
      <c r="C7" t="s">
        <v>3</v>
      </c>
      <c r="D7" t="s">
        <v>34</v>
      </c>
      <c r="E7" t="s">
        <v>5</v>
      </c>
      <c r="F7">
        <v>23880</v>
      </c>
      <c r="G7">
        <v>634</v>
      </c>
      <c r="H7">
        <v>742</v>
      </c>
      <c r="I7">
        <v>1560</v>
      </c>
      <c r="J7" t="str">
        <f>IF(Sales_Data[[#This Row],[Forex Rate]]&lt;900,"Below 900",IF(Sales_Data[[#This Row],[Forex Rate]]&lt;1100,"900–1099",IF(Sales_Data[[#This Row],[Forex Rate]]&lt;1300,"1100–1299","1300+")))</f>
        <v>1300+</v>
      </c>
      <c r="K7">
        <v>267136</v>
      </c>
      <c r="L7">
        <v>17718960</v>
      </c>
      <c r="M7">
        <v>2311904</v>
      </c>
      <c r="N7" t="str">
        <f>IF(Sales_Data[[#This Row],[Profit]]&lt;0,"Loss","Profit")</f>
        <v>Profit</v>
      </c>
      <c r="O7" s="2">
        <v>0.130476280774944</v>
      </c>
    </row>
    <row r="8" spans="1:15" x14ac:dyDescent="0.25">
      <c r="A8" s="1">
        <v>45692</v>
      </c>
      <c r="B8" t="s">
        <v>15</v>
      </c>
      <c r="C8" t="s">
        <v>3</v>
      </c>
      <c r="D8" t="s">
        <v>35</v>
      </c>
      <c r="E8" t="s">
        <v>11</v>
      </c>
      <c r="F8">
        <v>24418</v>
      </c>
      <c r="G8">
        <v>550</v>
      </c>
      <c r="H8">
        <v>545</v>
      </c>
      <c r="I8">
        <v>1454</v>
      </c>
      <c r="J8" t="str">
        <f>IF(Sales_Data[[#This Row],[Forex Rate]]&lt;900,"Below 900",IF(Sales_Data[[#This Row],[Forex Rate]]&lt;1100,"900–1099",IF(Sales_Data[[#This Row],[Forex Rate]]&lt;1300,"1100–1299","1300+")))</f>
        <v>1300+</v>
      </c>
      <c r="K8">
        <v>712262</v>
      </c>
      <c r="L8">
        <v>13307810</v>
      </c>
      <c r="M8">
        <v>-834352</v>
      </c>
      <c r="N8" t="str">
        <f>IF(Sales_Data[[#This Row],[Profit]]&lt;0,"Loss","Profit")</f>
        <v>Loss</v>
      </c>
      <c r="O8" s="2">
        <v>-6.2696416615506206E-2</v>
      </c>
    </row>
    <row r="9" spans="1:15" x14ac:dyDescent="0.25">
      <c r="A9" s="1">
        <v>45766</v>
      </c>
      <c r="B9" t="s">
        <v>16</v>
      </c>
      <c r="C9" t="s">
        <v>3</v>
      </c>
      <c r="D9" t="s">
        <v>35</v>
      </c>
      <c r="E9" t="s">
        <v>11</v>
      </c>
      <c r="F9">
        <v>23254</v>
      </c>
      <c r="G9">
        <v>567</v>
      </c>
      <c r="H9">
        <v>636</v>
      </c>
      <c r="I9">
        <v>1588</v>
      </c>
      <c r="J9" t="str">
        <f>IF(Sales_Data[[#This Row],[Forex Rate]]&lt;900,"Below 900",IF(Sales_Data[[#This Row],[Forex Rate]]&lt;1100,"900–1099",IF(Sales_Data[[#This Row],[Forex Rate]]&lt;1300,"1100–1299","1300+")))</f>
        <v>1300+</v>
      </c>
      <c r="K9">
        <v>626156</v>
      </c>
      <c r="L9">
        <v>14789544</v>
      </c>
      <c r="M9">
        <v>978370</v>
      </c>
      <c r="N9" t="str">
        <f>IF(Sales_Data[[#This Row],[Profit]]&lt;0,"Loss","Profit")</f>
        <v>Profit</v>
      </c>
      <c r="O9" s="2">
        <v>6.6152817152442298E-2</v>
      </c>
    </row>
    <row r="10" spans="1:15" x14ac:dyDescent="0.25">
      <c r="A10" s="1">
        <v>45779</v>
      </c>
      <c r="B10" t="s">
        <v>17</v>
      </c>
      <c r="C10" t="s">
        <v>3</v>
      </c>
      <c r="D10" t="s">
        <v>35</v>
      </c>
      <c r="E10" t="s">
        <v>11</v>
      </c>
      <c r="F10">
        <v>17478</v>
      </c>
      <c r="G10">
        <v>526</v>
      </c>
      <c r="H10">
        <v>588</v>
      </c>
      <c r="I10">
        <v>1224</v>
      </c>
      <c r="J10" t="str">
        <f>IF(Sales_Data[[#This Row],[Forex Rate]]&lt;900,"Below 900",IF(Sales_Data[[#This Row],[Forex Rate]]&lt;1100,"900–1099",IF(Sales_Data[[#This Row],[Forex Rate]]&lt;1300,"1100–1299","1300+")))</f>
        <v>1100–1299</v>
      </c>
      <c r="K10">
        <v>460735</v>
      </c>
      <c r="L10">
        <v>10277064</v>
      </c>
      <c r="M10">
        <v>622901</v>
      </c>
      <c r="N10" t="str">
        <f>IF(Sales_Data[[#This Row],[Profit]]&lt;0,"Loss","Profit")</f>
        <v>Profit</v>
      </c>
      <c r="O10" s="2">
        <v>6.0610793121459602E-2</v>
      </c>
    </row>
    <row r="11" spans="1:15" x14ac:dyDescent="0.25">
      <c r="A11" s="1">
        <v>45795</v>
      </c>
      <c r="B11" t="s">
        <v>17</v>
      </c>
      <c r="C11" t="s">
        <v>6</v>
      </c>
      <c r="D11" t="s">
        <v>34</v>
      </c>
      <c r="E11" t="s">
        <v>5</v>
      </c>
      <c r="F11">
        <v>21280</v>
      </c>
      <c r="G11">
        <v>609</v>
      </c>
      <c r="H11">
        <v>682</v>
      </c>
      <c r="I11">
        <v>1465</v>
      </c>
      <c r="J11" t="str">
        <f>IF(Sales_Data[[#This Row],[Forex Rate]]&lt;900,"Below 900",IF(Sales_Data[[#This Row],[Forex Rate]]&lt;1100,"900–1099",IF(Sales_Data[[#This Row],[Forex Rate]]&lt;1300,"1100–1299","1300+")))</f>
        <v>1300+</v>
      </c>
      <c r="K11">
        <v>1096865</v>
      </c>
      <c r="L11">
        <v>14512960</v>
      </c>
      <c r="M11">
        <v>456575</v>
      </c>
      <c r="N11" t="str">
        <f>IF(Sales_Data[[#This Row],[Profit]]&lt;0,"Loss","Profit")</f>
        <v>Profit</v>
      </c>
      <c r="O11" s="2">
        <v>3.1459812471060403E-2</v>
      </c>
    </row>
    <row r="12" spans="1:15" x14ac:dyDescent="0.25">
      <c r="A12" s="1">
        <v>45673</v>
      </c>
      <c r="B12" t="s">
        <v>18</v>
      </c>
      <c r="C12" t="s">
        <v>6</v>
      </c>
      <c r="D12" t="s">
        <v>34</v>
      </c>
      <c r="E12" t="s">
        <v>5</v>
      </c>
      <c r="F12">
        <v>5141</v>
      </c>
      <c r="G12">
        <v>655</v>
      </c>
      <c r="H12">
        <v>763</v>
      </c>
      <c r="I12">
        <v>1262</v>
      </c>
      <c r="J12" t="str">
        <f>IF(Sales_Data[[#This Row],[Forex Rate]]&lt;900,"Below 900",IF(Sales_Data[[#This Row],[Forex Rate]]&lt;1100,"900–1099",IF(Sales_Data[[#This Row],[Forex Rate]]&lt;1300,"1100–1299","1300+")))</f>
        <v>1100–1299</v>
      </c>
      <c r="K12">
        <v>680425</v>
      </c>
      <c r="L12">
        <v>3922583</v>
      </c>
      <c r="M12">
        <v>-125197</v>
      </c>
      <c r="N12" t="str">
        <f>IF(Sales_Data[[#This Row],[Profit]]&lt;0,"Loss","Profit")</f>
        <v>Loss</v>
      </c>
      <c r="O12" s="2">
        <v>-3.1916979194576603E-2</v>
      </c>
    </row>
    <row r="13" spans="1:15" x14ac:dyDescent="0.25">
      <c r="A13" s="1">
        <v>45686</v>
      </c>
      <c r="B13" t="s">
        <v>18</v>
      </c>
      <c r="C13" t="s">
        <v>6</v>
      </c>
      <c r="D13" t="s">
        <v>35</v>
      </c>
      <c r="E13" t="s">
        <v>11</v>
      </c>
      <c r="F13">
        <v>25153</v>
      </c>
      <c r="G13">
        <v>492</v>
      </c>
      <c r="H13">
        <v>512</v>
      </c>
      <c r="I13">
        <v>1591</v>
      </c>
      <c r="J13" t="str">
        <f>IF(Sales_Data[[#This Row],[Forex Rate]]&lt;900,"Below 900",IF(Sales_Data[[#This Row],[Forex Rate]]&lt;1100,"900–1099",IF(Sales_Data[[#This Row],[Forex Rate]]&lt;1300,"1100–1299","1300+")))</f>
        <v>1300+</v>
      </c>
      <c r="K13">
        <v>891798</v>
      </c>
      <c r="L13">
        <v>12878336</v>
      </c>
      <c r="M13">
        <v>-388738</v>
      </c>
      <c r="N13" t="str">
        <f>IF(Sales_Data[[#This Row],[Profit]]&lt;0,"Loss","Profit")</f>
        <v>Loss</v>
      </c>
      <c r="O13" s="2">
        <v>-3.01854214705999E-2</v>
      </c>
    </row>
    <row r="14" spans="1:15" x14ac:dyDescent="0.25">
      <c r="A14" s="1">
        <v>45820</v>
      </c>
      <c r="B14" t="s">
        <v>19</v>
      </c>
      <c r="C14" t="s">
        <v>6</v>
      </c>
      <c r="D14" t="s">
        <v>35</v>
      </c>
      <c r="E14" t="s">
        <v>7</v>
      </c>
      <c r="F14">
        <v>29260</v>
      </c>
      <c r="G14">
        <v>574</v>
      </c>
      <c r="H14">
        <v>631</v>
      </c>
      <c r="I14">
        <v>1298</v>
      </c>
      <c r="J14" t="str">
        <f>IF(Sales_Data[[#This Row],[Forex Rate]]&lt;900,"Below 900",IF(Sales_Data[[#This Row],[Forex Rate]]&lt;1100,"900–1099",IF(Sales_Data[[#This Row],[Forex Rate]]&lt;1300,"1100–1299","1300+")))</f>
        <v>1100–1299</v>
      </c>
      <c r="K14">
        <v>649484</v>
      </c>
      <c r="L14">
        <v>18463060</v>
      </c>
      <c r="M14">
        <v>1018336</v>
      </c>
      <c r="N14" t="str">
        <f>IF(Sales_Data[[#This Row],[Profit]]&lt;0,"Loss","Profit")</f>
        <v>Profit</v>
      </c>
      <c r="O14" s="2">
        <v>5.5155320948965102E-2</v>
      </c>
    </row>
    <row r="15" spans="1:15" x14ac:dyDescent="0.25">
      <c r="A15" s="1">
        <v>45833</v>
      </c>
      <c r="B15" t="s">
        <v>19</v>
      </c>
      <c r="C15" t="s">
        <v>3</v>
      </c>
      <c r="D15" t="s">
        <v>36</v>
      </c>
      <c r="E15" t="s">
        <v>8</v>
      </c>
      <c r="F15">
        <v>8665</v>
      </c>
      <c r="G15">
        <v>662</v>
      </c>
      <c r="H15">
        <v>874</v>
      </c>
      <c r="I15">
        <v>1389</v>
      </c>
      <c r="J15" t="str">
        <f>IF(Sales_Data[[#This Row],[Forex Rate]]&lt;900,"Below 900",IF(Sales_Data[[#This Row],[Forex Rate]]&lt;1100,"900–1099",IF(Sales_Data[[#This Row],[Forex Rate]]&lt;1300,"1100–1299","1300+")))</f>
        <v>1300+</v>
      </c>
      <c r="K15">
        <v>349811</v>
      </c>
      <c r="L15">
        <v>7573210</v>
      </c>
      <c r="M15">
        <v>1487169</v>
      </c>
      <c r="N15" t="str">
        <f>IF(Sales_Data[[#This Row],[Profit]]&lt;0,"Loss","Profit")</f>
        <v>Profit</v>
      </c>
      <c r="O15" s="2">
        <v>0.19637234409187099</v>
      </c>
    </row>
    <row r="16" spans="1:15" x14ac:dyDescent="0.25">
      <c r="A16" s="1">
        <v>45807</v>
      </c>
      <c r="B16" t="s">
        <v>17</v>
      </c>
      <c r="C16" t="s">
        <v>9</v>
      </c>
      <c r="D16" t="s">
        <v>34</v>
      </c>
      <c r="E16" t="s">
        <v>5</v>
      </c>
      <c r="F16">
        <v>31175</v>
      </c>
      <c r="G16">
        <v>563</v>
      </c>
      <c r="H16">
        <v>598</v>
      </c>
      <c r="I16">
        <v>1544</v>
      </c>
      <c r="J16" t="str">
        <f>IF(Sales_Data[[#This Row],[Forex Rate]]&lt;900,"Below 900",IF(Sales_Data[[#This Row],[Forex Rate]]&lt;1100,"900–1099",IF(Sales_Data[[#This Row],[Forex Rate]]&lt;1300,"1100–1299","1300+")))</f>
        <v>1300+</v>
      </c>
      <c r="K16">
        <v>913536</v>
      </c>
      <c r="L16">
        <v>18642650</v>
      </c>
      <c r="M16">
        <v>177589</v>
      </c>
      <c r="N16" t="str">
        <f>IF(Sales_Data[[#This Row],[Profit]]&lt;0,"Loss","Profit")</f>
        <v>Profit</v>
      </c>
      <c r="O16" s="2">
        <v>9.5259525872126594E-3</v>
      </c>
    </row>
    <row r="17" spans="1:15" x14ac:dyDescent="0.25">
      <c r="A17" s="1">
        <v>45786</v>
      </c>
      <c r="B17" t="s">
        <v>17</v>
      </c>
      <c r="C17" t="s">
        <v>9</v>
      </c>
      <c r="D17" t="s">
        <v>36</v>
      </c>
      <c r="E17" t="s">
        <v>10</v>
      </c>
      <c r="F17">
        <v>23786</v>
      </c>
      <c r="G17">
        <v>563</v>
      </c>
      <c r="H17">
        <v>540</v>
      </c>
      <c r="I17">
        <v>1401</v>
      </c>
      <c r="J17" t="str">
        <f>IF(Sales_Data[[#This Row],[Forex Rate]]&lt;900,"Below 900",IF(Sales_Data[[#This Row],[Forex Rate]]&lt;1100,"900–1099",IF(Sales_Data[[#This Row],[Forex Rate]]&lt;1300,"1100–1299","1300+")))</f>
        <v>1300+</v>
      </c>
      <c r="K17">
        <v>743995</v>
      </c>
      <c r="L17">
        <v>12844440</v>
      </c>
      <c r="M17">
        <v>-1291073</v>
      </c>
      <c r="N17" t="str">
        <f>IF(Sales_Data[[#This Row],[Profit]]&lt;0,"Loss","Profit")</f>
        <v>Loss</v>
      </c>
      <c r="O17" s="2">
        <v>-0.10051609879449799</v>
      </c>
    </row>
    <row r="18" spans="1:15" x14ac:dyDescent="0.25">
      <c r="A18" s="1">
        <v>45808</v>
      </c>
      <c r="B18" t="s">
        <v>17</v>
      </c>
      <c r="C18" t="s">
        <v>9</v>
      </c>
      <c r="D18" t="s">
        <v>36</v>
      </c>
      <c r="E18" t="s">
        <v>8</v>
      </c>
      <c r="F18">
        <v>21285</v>
      </c>
      <c r="G18">
        <v>609</v>
      </c>
      <c r="H18">
        <v>714</v>
      </c>
      <c r="I18">
        <v>1401</v>
      </c>
      <c r="J18" t="str">
        <f>IF(Sales_Data[[#This Row],[Forex Rate]]&lt;900,"Below 900",IF(Sales_Data[[#This Row],[Forex Rate]]&lt;1100,"900–1099",IF(Sales_Data[[#This Row],[Forex Rate]]&lt;1300,"1100–1299","1300+")))</f>
        <v>1300+</v>
      </c>
      <c r="K18">
        <v>675852</v>
      </c>
      <c r="L18">
        <v>15197490</v>
      </c>
      <c r="M18">
        <v>1559073</v>
      </c>
      <c r="N18" t="str">
        <f>IF(Sales_Data[[#This Row],[Profit]]&lt;0,"Loss","Profit")</f>
        <v>Profit</v>
      </c>
      <c r="O18" s="2">
        <v>0.102587532546493</v>
      </c>
    </row>
    <row r="19" spans="1:15" x14ac:dyDescent="0.25">
      <c r="A19" s="1">
        <v>45728</v>
      </c>
      <c r="B19" t="s">
        <v>14</v>
      </c>
      <c r="C19" t="s">
        <v>9</v>
      </c>
      <c r="D19" t="s">
        <v>34</v>
      </c>
      <c r="E19" t="s">
        <v>5</v>
      </c>
      <c r="F19">
        <v>5232</v>
      </c>
      <c r="G19">
        <v>540</v>
      </c>
      <c r="H19">
        <v>649</v>
      </c>
      <c r="I19">
        <v>1405</v>
      </c>
      <c r="J19" t="str">
        <f>IF(Sales_Data[[#This Row],[Forex Rate]]&lt;900,"Below 900",IF(Sales_Data[[#This Row],[Forex Rate]]&lt;1100,"900–1099",IF(Sales_Data[[#This Row],[Forex Rate]]&lt;1300,"1100–1299","1300+")))</f>
        <v>1300+</v>
      </c>
      <c r="K19">
        <v>680425</v>
      </c>
      <c r="L19">
        <v>3395568</v>
      </c>
      <c r="M19">
        <v>-110137</v>
      </c>
      <c r="N19" t="str">
        <f>IF(Sales_Data[[#This Row],[Profit]]&lt;0,"Loss","Profit")</f>
        <v>Loss</v>
      </c>
      <c r="O19" s="2">
        <v>-3.2435515943135297E-2</v>
      </c>
    </row>
    <row r="20" spans="1:15" x14ac:dyDescent="0.25">
      <c r="A20" s="1">
        <v>45672</v>
      </c>
      <c r="B20" t="s">
        <v>18</v>
      </c>
      <c r="C20" t="s">
        <v>9</v>
      </c>
      <c r="D20" t="s">
        <v>36</v>
      </c>
      <c r="E20" t="s">
        <v>10</v>
      </c>
      <c r="F20">
        <v>23786</v>
      </c>
      <c r="G20">
        <v>696</v>
      </c>
      <c r="H20">
        <v>812</v>
      </c>
      <c r="I20">
        <v>1227</v>
      </c>
      <c r="J20" t="str">
        <f>IF(Sales_Data[[#This Row],[Forex Rate]]&lt;900,"Below 900",IF(Sales_Data[[#This Row],[Forex Rate]]&lt;1100,"900–1099",IF(Sales_Data[[#This Row],[Forex Rate]]&lt;1300,"1100–1299","1300+")))</f>
        <v>1100–1299</v>
      </c>
      <c r="K20">
        <v>743995</v>
      </c>
      <c r="L20">
        <v>19314232</v>
      </c>
      <c r="M20">
        <v>2015181</v>
      </c>
      <c r="N20" t="str">
        <f>IF(Sales_Data[[#This Row],[Profit]]&lt;0,"Loss","Profit")</f>
        <v>Profit</v>
      </c>
      <c r="O20" s="2">
        <v>0.10433658454553101</v>
      </c>
    </row>
    <row r="21" spans="1:15" x14ac:dyDescent="0.25">
      <c r="A21" s="1">
        <v>45676</v>
      </c>
      <c r="B21" t="s">
        <v>18</v>
      </c>
      <c r="C21" t="s">
        <v>9</v>
      </c>
      <c r="D21" t="s">
        <v>35</v>
      </c>
      <c r="E21" t="s">
        <v>11</v>
      </c>
      <c r="F21">
        <v>38153</v>
      </c>
      <c r="G21">
        <v>700</v>
      </c>
      <c r="H21">
        <v>521</v>
      </c>
      <c r="I21">
        <v>1400</v>
      </c>
      <c r="J21" t="str">
        <f>IF(Sales_Data[[#This Row],[Forex Rate]]&lt;900,"Below 900",IF(Sales_Data[[#This Row],[Forex Rate]]&lt;1100,"900–1099",IF(Sales_Data[[#This Row],[Forex Rate]]&lt;1300,"1100–1299","1300+")))</f>
        <v>1300+</v>
      </c>
      <c r="K21">
        <v>642323</v>
      </c>
      <c r="L21">
        <v>19877713</v>
      </c>
      <c r="M21">
        <v>-7471710</v>
      </c>
      <c r="N21" t="str">
        <f>IF(Sales_Data[[#This Row],[Profit]]&lt;0,"Loss","Profit")</f>
        <v>Loss</v>
      </c>
      <c r="O21" s="2">
        <v>-0.375883785020943</v>
      </c>
    </row>
    <row r="22" spans="1:15" x14ac:dyDescent="0.25">
      <c r="A22" s="1">
        <v>45816</v>
      </c>
      <c r="B22" t="s">
        <v>19</v>
      </c>
      <c r="C22" t="s">
        <v>9</v>
      </c>
      <c r="D22" t="s">
        <v>36</v>
      </c>
      <c r="E22" t="s">
        <v>8</v>
      </c>
      <c r="F22">
        <v>21285</v>
      </c>
      <c r="G22">
        <v>577</v>
      </c>
      <c r="H22">
        <v>591</v>
      </c>
      <c r="I22">
        <v>1469</v>
      </c>
      <c r="J22" t="str">
        <f>IF(Sales_Data[[#This Row],[Forex Rate]]&lt;900,"Below 900",IF(Sales_Data[[#This Row],[Forex Rate]]&lt;1100,"900–1099",IF(Sales_Data[[#This Row],[Forex Rate]]&lt;1300,"1100–1299","1300+")))</f>
        <v>1300+</v>
      </c>
      <c r="K22">
        <v>679434</v>
      </c>
      <c r="L22">
        <v>12579435</v>
      </c>
      <c r="M22">
        <v>-381444</v>
      </c>
      <c r="N22" t="str">
        <f>IF(Sales_Data[[#This Row],[Profit]]&lt;0,"Loss","Profit")</f>
        <v>Loss</v>
      </c>
      <c r="O22" s="2">
        <v>-3.03228245147735E-2</v>
      </c>
    </row>
    <row r="23" spans="1:15" x14ac:dyDescent="0.25">
      <c r="A23" s="1">
        <v>45768</v>
      </c>
      <c r="B23" t="s">
        <v>16</v>
      </c>
      <c r="C23" t="s">
        <v>9</v>
      </c>
      <c r="D23" t="s">
        <v>35</v>
      </c>
      <c r="E23" t="s">
        <v>11</v>
      </c>
      <c r="F23">
        <v>25202</v>
      </c>
      <c r="G23">
        <v>690</v>
      </c>
      <c r="H23">
        <v>799</v>
      </c>
      <c r="I23">
        <v>1422</v>
      </c>
      <c r="J23" t="str">
        <f>IF(Sales_Data[[#This Row],[Forex Rate]]&lt;900,"Below 900",IF(Sales_Data[[#This Row],[Forex Rate]]&lt;1100,"900–1099",IF(Sales_Data[[#This Row],[Forex Rate]]&lt;1300,"1100–1299","1300+")))</f>
        <v>1300+</v>
      </c>
      <c r="K23">
        <v>1117202</v>
      </c>
      <c r="L23">
        <v>20136398</v>
      </c>
      <c r="M23">
        <v>1629816</v>
      </c>
      <c r="N23" t="str">
        <f>IF(Sales_Data[[#This Row],[Profit]]&lt;0,"Loss","Profit")</f>
        <v>Profit</v>
      </c>
      <c r="O23" s="2">
        <v>8.0938805440774503E-2</v>
      </c>
    </row>
    <row r="24" spans="1:15" x14ac:dyDescent="0.25">
      <c r="A24" s="1">
        <v>45718</v>
      </c>
      <c r="B24" t="s">
        <v>14</v>
      </c>
      <c r="C24" t="s">
        <v>3</v>
      </c>
      <c r="D24" t="s">
        <v>36</v>
      </c>
      <c r="E24" t="s">
        <v>8</v>
      </c>
      <c r="F24">
        <v>16603</v>
      </c>
      <c r="G24">
        <v>697</v>
      </c>
      <c r="H24">
        <v>796</v>
      </c>
      <c r="I24">
        <v>1307</v>
      </c>
      <c r="J24" t="str">
        <f>IF(Sales_Data[[#This Row],[Forex Rate]]&lt;900,"Below 900",IF(Sales_Data[[#This Row],[Forex Rate]]&lt;1100,"900–1099",IF(Sales_Data[[#This Row],[Forex Rate]]&lt;1300,"1100–1299","1300+")))</f>
        <v>1300+</v>
      </c>
      <c r="K24">
        <v>601124</v>
      </c>
      <c r="L24">
        <v>13215988</v>
      </c>
      <c r="M24">
        <v>1042573</v>
      </c>
      <c r="N24" t="str">
        <f>IF(Sales_Data[[#This Row],[Profit]]&lt;0,"Loss","Profit")</f>
        <v>Profit</v>
      </c>
      <c r="O24" s="2">
        <v>7.8887253832252299E-2</v>
      </c>
    </row>
    <row r="25" spans="1:15" x14ac:dyDescent="0.25">
      <c r="A25" s="1">
        <v>45775</v>
      </c>
      <c r="B25" t="s">
        <v>16</v>
      </c>
      <c r="C25" t="s">
        <v>6</v>
      </c>
      <c r="D25" t="s">
        <v>34</v>
      </c>
      <c r="E25" t="s">
        <v>4</v>
      </c>
      <c r="F25">
        <v>25000</v>
      </c>
      <c r="G25">
        <v>478</v>
      </c>
      <c r="H25">
        <v>481</v>
      </c>
      <c r="I25">
        <v>1422</v>
      </c>
      <c r="J25" t="str">
        <f>IF(Sales_Data[[#This Row],[Forex Rate]]&lt;900,"Below 900",IF(Sales_Data[[#This Row],[Forex Rate]]&lt;1100,"900–1099",IF(Sales_Data[[#This Row],[Forex Rate]]&lt;1300,"1100–1299","1300+")))</f>
        <v>1300+</v>
      </c>
      <c r="K25">
        <v>762262</v>
      </c>
      <c r="L25">
        <v>12025000</v>
      </c>
      <c r="M25">
        <v>-687262</v>
      </c>
      <c r="N25" t="str">
        <f>IF(Sales_Data[[#This Row],[Profit]]&lt;0,"Loss","Profit")</f>
        <v>Loss</v>
      </c>
      <c r="O25" s="2">
        <v>-5.7152765072765101E-2</v>
      </c>
    </row>
    <row r="26" spans="1:15" x14ac:dyDescent="0.25">
      <c r="A26" s="1">
        <v>45703</v>
      </c>
      <c r="B26" t="s">
        <v>15</v>
      </c>
      <c r="C26" t="s">
        <v>9</v>
      </c>
      <c r="D26" t="s">
        <v>34</v>
      </c>
      <c r="E26" t="s">
        <v>5</v>
      </c>
      <c r="F26">
        <v>22232</v>
      </c>
      <c r="G26">
        <v>639</v>
      </c>
      <c r="H26">
        <v>697</v>
      </c>
      <c r="I26">
        <v>1431</v>
      </c>
      <c r="J26" t="str">
        <f>IF(Sales_Data[[#This Row],[Forex Rate]]&lt;900,"Below 900",IF(Sales_Data[[#This Row],[Forex Rate]]&lt;1100,"900–1099",IF(Sales_Data[[#This Row],[Forex Rate]]&lt;1300,"1100–1299","1300+")))</f>
        <v>1300+</v>
      </c>
      <c r="K26">
        <v>943215</v>
      </c>
      <c r="L26">
        <v>15495704</v>
      </c>
      <c r="M26">
        <v>346241</v>
      </c>
      <c r="N26" t="str">
        <f>IF(Sales_Data[[#This Row],[Profit]]&lt;0,"Loss","Profit")</f>
        <v>Profit</v>
      </c>
      <c r="O26" s="2">
        <v>2.2344322013378701E-2</v>
      </c>
    </row>
    <row r="27" spans="1:15" x14ac:dyDescent="0.25">
      <c r="A27" s="1">
        <v>45751</v>
      </c>
      <c r="B27" t="s">
        <v>16</v>
      </c>
      <c r="C27" t="s">
        <v>9</v>
      </c>
      <c r="D27" t="s">
        <v>36</v>
      </c>
      <c r="E27" t="s">
        <v>8</v>
      </c>
      <c r="F27">
        <v>21285</v>
      </c>
      <c r="G27">
        <v>591</v>
      </c>
      <c r="H27">
        <v>855</v>
      </c>
      <c r="I27">
        <v>1422</v>
      </c>
      <c r="J27" t="str">
        <f>IF(Sales_Data[[#This Row],[Forex Rate]]&lt;900,"Below 900",IF(Sales_Data[[#This Row],[Forex Rate]]&lt;1100,"900–1099",IF(Sales_Data[[#This Row],[Forex Rate]]&lt;1300,"1100–1299","1300+")))</f>
        <v>1300+</v>
      </c>
      <c r="K27">
        <v>510016</v>
      </c>
      <c r="L27">
        <v>18198675</v>
      </c>
      <c r="M27">
        <v>5109224</v>
      </c>
      <c r="N27" t="str">
        <f>IF(Sales_Data[[#This Row],[Profit]]&lt;0,"Loss","Profit")</f>
        <v>Profit</v>
      </c>
      <c r="O27" s="2">
        <v>0.28074703240757898</v>
      </c>
    </row>
    <row r="28" spans="1:15" x14ac:dyDescent="0.25">
      <c r="A28" s="1">
        <v>45831</v>
      </c>
      <c r="B28" t="s">
        <v>19</v>
      </c>
      <c r="C28" t="s">
        <v>9</v>
      </c>
      <c r="D28" t="s">
        <v>35</v>
      </c>
      <c r="E28" t="s">
        <v>7</v>
      </c>
      <c r="F28">
        <v>24723</v>
      </c>
      <c r="G28">
        <v>420</v>
      </c>
      <c r="H28">
        <v>804</v>
      </c>
      <c r="I28">
        <v>1386</v>
      </c>
      <c r="J28" t="str">
        <f>IF(Sales_Data[[#This Row],[Forex Rate]]&lt;900,"Below 900",IF(Sales_Data[[#This Row],[Forex Rate]]&lt;1100,"900–1099",IF(Sales_Data[[#This Row],[Forex Rate]]&lt;1300,"1100–1299","1300+")))</f>
        <v>1300+</v>
      </c>
      <c r="K28">
        <v>649484</v>
      </c>
      <c r="L28">
        <v>19877292</v>
      </c>
      <c r="M28">
        <v>8844148</v>
      </c>
      <c r="N28" t="str">
        <f>IF(Sales_Data[[#This Row],[Profit]]&lt;0,"Loss","Profit")</f>
        <v>Profit</v>
      </c>
      <c r="O28" s="2">
        <v>0.44493726811479201</v>
      </c>
    </row>
    <row r="29" spans="1:15" x14ac:dyDescent="0.25">
      <c r="A29" s="1">
        <v>45730</v>
      </c>
      <c r="B29" t="s">
        <v>14</v>
      </c>
      <c r="C29" t="s">
        <v>9</v>
      </c>
      <c r="D29" t="s">
        <v>36</v>
      </c>
      <c r="E29" t="s">
        <v>8</v>
      </c>
      <c r="F29">
        <v>21285</v>
      </c>
      <c r="G29">
        <v>513</v>
      </c>
      <c r="H29">
        <v>560</v>
      </c>
      <c r="I29">
        <v>1507</v>
      </c>
      <c r="J29" t="str">
        <f>IF(Sales_Data[[#This Row],[Forex Rate]]&lt;900,"Below 900",IF(Sales_Data[[#This Row],[Forex Rate]]&lt;1100,"900–1099",IF(Sales_Data[[#This Row],[Forex Rate]]&lt;1300,"1100–1299","1300+")))</f>
        <v>1300+</v>
      </c>
      <c r="K29">
        <v>675852</v>
      </c>
      <c r="L29">
        <v>11919600</v>
      </c>
      <c r="M29">
        <v>324543</v>
      </c>
      <c r="N29" t="str">
        <f>IF(Sales_Data[[#This Row],[Profit]]&lt;0,"Loss","Profit")</f>
        <v>Profit</v>
      </c>
      <c r="O29" s="2">
        <v>2.72276754253498E-2</v>
      </c>
    </row>
    <row r="30" spans="1:15" x14ac:dyDescent="0.25">
      <c r="A30" s="1">
        <v>45784</v>
      </c>
      <c r="B30" t="s">
        <v>17</v>
      </c>
      <c r="C30" t="s">
        <v>3</v>
      </c>
      <c r="D30" t="s">
        <v>34</v>
      </c>
      <c r="E30" t="s">
        <v>5</v>
      </c>
      <c r="F30">
        <v>23880</v>
      </c>
      <c r="G30">
        <v>626</v>
      </c>
      <c r="H30">
        <v>548</v>
      </c>
      <c r="I30">
        <v>1220</v>
      </c>
      <c r="J30" t="str">
        <f>IF(Sales_Data[[#This Row],[Forex Rate]]&lt;900,"Below 900",IF(Sales_Data[[#This Row],[Forex Rate]]&lt;1100,"900–1099",IF(Sales_Data[[#This Row],[Forex Rate]]&lt;1300,"1100–1299","1300+")))</f>
        <v>1100–1299</v>
      </c>
      <c r="K30">
        <v>339816</v>
      </c>
      <c r="L30">
        <v>13086240</v>
      </c>
      <c r="M30">
        <v>-2202456</v>
      </c>
      <c r="N30" t="str">
        <f>IF(Sales_Data[[#This Row],[Profit]]&lt;0,"Loss","Profit")</f>
        <v>Loss</v>
      </c>
      <c r="O30" s="2">
        <v>-0.168303194806148</v>
      </c>
    </row>
    <row r="31" spans="1:15" x14ac:dyDescent="0.25">
      <c r="A31" s="1">
        <v>45771</v>
      </c>
      <c r="B31" t="s">
        <v>16</v>
      </c>
      <c r="C31" t="s">
        <v>3</v>
      </c>
      <c r="D31" t="s">
        <v>36</v>
      </c>
      <c r="E31" t="s">
        <v>10</v>
      </c>
      <c r="F31">
        <v>40905</v>
      </c>
      <c r="G31">
        <v>562</v>
      </c>
      <c r="H31">
        <v>828</v>
      </c>
      <c r="I31">
        <v>1422</v>
      </c>
      <c r="J31" t="str">
        <f>IF(Sales_Data[[#This Row],[Forex Rate]]&lt;900,"Below 900",IF(Sales_Data[[#This Row],[Forex Rate]]&lt;1100,"900–1099",IF(Sales_Data[[#This Row],[Forex Rate]]&lt;1300,"1100–1299","1300+")))</f>
        <v>1300+</v>
      </c>
      <c r="K31">
        <v>487936</v>
      </c>
      <c r="L31">
        <v>33869340</v>
      </c>
      <c r="M31">
        <v>10392794</v>
      </c>
      <c r="N31" t="str">
        <f>IF(Sales_Data[[#This Row],[Profit]]&lt;0,"Loss","Profit")</f>
        <v>Profit</v>
      </c>
      <c r="O31" s="2">
        <v>0.30684961679206002</v>
      </c>
    </row>
    <row r="32" spans="1:15" x14ac:dyDescent="0.25">
      <c r="A32" s="1">
        <v>45718</v>
      </c>
      <c r="B32" t="s">
        <v>14</v>
      </c>
      <c r="C32" t="s">
        <v>9</v>
      </c>
      <c r="D32" t="s">
        <v>36</v>
      </c>
      <c r="E32" t="s">
        <v>10</v>
      </c>
      <c r="F32">
        <v>23786</v>
      </c>
      <c r="G32">
        <v>465</v>
      </c>
      <c r="H32">
        <v>552</v>
      </c>
      <c r="I32">
        <v>1332</v>
      </c>
      <c r="J32" t="str">
        <f>IF(Sales_Data[[#This Row],[Forex Rate]]&lt;900,"Below 900",IF(Sales_Data[[#This Row],[Forex Rate]]&lt;1100,"900–1099",IF(Sales_Data[[#This Row],[Forex Rate]]&lt;1300,"1100–1299","1300+")))</f>
        <v>1300+</v>
      </c>
      <c r="K32">
        <v>635970</v>
      </c>
      <c r="L32">
        <v>13129872</v>
      </c>
      <c r="M32">
        <v>1433412</v>
      </c>
      <c r="N32" t="str">
        <f>IF(Sales_Data[[#This Row],[Profit]]&lt;0,"Loss","Profit")</f>
        <v>Profit</v>
      </c>
      <c r="O32" s="2">
        <v>0.109171818278198</v>
      </c>
    </row>
    <row r="33" spans="1:15" x14ac:dyDescent="0.25">
      <c r="A33" s="1">
        <v>45805</v>
      </c>
      <c r="B33" t="s">
        <v>17</v>
      </c>
      <c r="C33" t="s">
        <v>6</v>
      </c>
      <c r="D33" t="s">
        <v>35</v>
      </c>
      <c r="E33" t="s">
        <v>11</v>
      </c>
      <c r="F33">
        <v>5386</v>
      </c>
      <c r="G33">
        <v>537</v>
      </c>
      <c r="H33">
        <v>606</v>
      </c>
      <c r="I33">
        <v>1309</v>
      </c>
      <c r="J33" t="str">
        <f>IF(Sales_Data[[#This Row],[Forex Rate]]&lt;900,"Below 900",IF(Sales_Data[[#This Row],[Forex Rate]]&lt;1100,"900–1099",IF(Sales_Data[[#This Row],[Forex Rate]]&lt;1300,"1100–1299","1300+")))</f>
        <v>1300+</v>
      </c>
      <c r="K33">
        <v>607746</v>
      </c>
      <c r="L33">
        <v>3263916</v>
      </c>
      <c r="M33">
        <v>-236112</v>
      </c>
      <c r="N33" t="str">
        <f>IF(Sales_Data[[#This Row],[Profit]]&lt;0,"Loss","Profit")</f>
        <v>Loss</v>
      </c>
      <c r="O33" s="2">
        <v>-7.2340096987790106E-2</v>
      </c>
    </row>
    <row r="34" spans="1:15" x14ac:dyDescent="0.25">
      <c r="A34" s="1">
        <v>45700</v>
      </c>
      <c r="B34" t="s">
        <v>15</v>
      </c>
      <c r="C34" t="s">
        <v>3</v>
      </c>
      <c r="D34" t="s">
        <v>36</v>
      </c>
      <c r="E34" t="s">
        <v>10</v>
      </c>
      <c r="F34">
        <v>13364</v>
      </c>
      <c r="G34">
        <v>550</v>
      </c>
      <c r="H34">
        <v>462</v>
      </c>
      <c r="I34">
        <v>1254</v>
      </c>
      <c r="J34" t="str">
        <f>IF(Sales_Data[[#This Row],[Forex Rate]]&lt;900,"Below 900",IF(Sales_Data[[#This Row],[Forex Rate]]&lt;1100,"900–1099",IF(Sales_Data[[#This Row],[Forex Rate]]&lt;1300,"1100–1299","1300+")))</f>
        <v>1100–1299</v>
      </c>
      <c r="K34">
        <v>597519</v>
      </c>
      <c r="L34">
        <v>6174168</v>
      </c>
      <c r="M34">
        <v>-1773551</v>
      </c>
      <c r="N34" t="str">
        <f>IF(Sales_Data[[#This Row],[Profit]]&lt;0,"Loss","Profit")</f>
        <v>Loss</v>
      </c>
      <c r="O34" s="2">
        <v>-0.287253440463557</v>
      </c>
    </row>
    <row r="35" spans="1:15" x14ac:dyDescent="0.25">
      <c r="A35" s="1">
        <v>45744</v>
      </c>
      <c r="B35" t="s">
        <v>14</v>
      </c>
      <c r="C35" t="s">
        <v>9</v>
      </c>
      <c r="D35" t="s">
        <v>35</v>
      </c>
      <c r="E35" t="s">
        <v>7</v>
      </c>
      <c r="F35">
        <v>32627</v>
      </c>
      <c r="G35">
        <v>540</v>
      </c>
      <c r="H35">
        <v>693</v>
      </c>
      <c r="I35">
        <v>1405</v>
      </c>
      <c r="J35" t="str">
        <f>IF(Sales_Data[[#This Row],[Forex Rate]]&lt;900,"Below 900",IF(Sales_Data[[#This Row],[Forex Rate]]&lt;1100,"900–1099",IF(Sales_Data[[#This Row],[Forex Rate]]&lt;1300,"1100–1299","1300+")))</f>
        <v>1300+</v>
      </c>
      <c r="K35">
        <v>242213</v>
      </c>
      <c r="L35">
        <v>22610511</v>
      </c>
      <c r="M35">
        <v>4749718</v>
      </c>
      <c r="N35" t="str">
        <f>IF(Sales_Data[[#This Row],[Profit]]&lt;0,"Loss","Profit")</f>
        <v>Profit</v>
      </c>
      <c r="O35" s="2">
        <v>0.210066813616021</v>
      </c>
    </row>
    <row r="36" spans="1:15" x14ac:dyDescent="0.25">
      <c r="A36" s="1">
        <v>45817</v>
      </c>
      <c r="B36" t="s">
        <v>19</v>
      </c>
      <c r="C36" t="s">
        <v>9</v>
      </c>
      <c r="D36" t="s">
        <v>34</v>
      </c>
      <c r="E36" t="s">
        <v>4</v>
      </c>
      <c r="F36">
        <v>13272</v>
      </c>
      <c r="G36">
        <v>621</v>
      </c>
      <c r="H36">
        <v>565</v>
      </c>
      <c r="I36">
        <v>1389</v>
      </c>
      <c r="J36" t="str">
        <f>IF(Sales_Data[[#This Row],[Forex Rate]]&lt;900,"Below 900",IF(Sales_Data[[#This Row],[Forex Rate]]&lt;1100,"900–1099",IF(Sales_Data[[#This Row],[Forex Rate]]&lt;1300,"1100–1299","1300+")))</f>
        <v>1300+</v>
      </c>
      <c r="K36">
        <v>953252</v>
      </c>
      <c r="L36">
        <v>7498680</v>
      </c>
      <c r="M36">
        <v>-1696484</v>
      </c>
      <c r="N36" t="str">
        <f>IF(Sales_Data[[#This Row],[Profit]]&lt;0,"Loss","Profit")</f>
        <v>Loss</v>
      </c>
      <c r="O36" s="2">
        <v>-0.226237684499138</v>
      </c>
    </row>
    <row r="37" spans="1:15" x14ac:dyDescent="0.25">
      <c r="A37" s="1">
        <v>45737</v>
      </c>
      <c r="B37" t="s">
        <v>14</v>
      </c>
      <c r="C37" t="s">
        <v>6</v>
      </c>
      <c r="D37" t="s">
        <v>34</v>
      </c>
      <c r="E37" t="s">
        <v>4</v>
      </c>
      <c r="F37">
        <v>30995</v>
      </c>
      <c r="G37">
        <v>598</v>
      </c>
      <c r="H37">
        <v>619</v>
      </c>
      <c r="I37">
        <v>1518</v>
      </c>
      <c r="J37" t="str">
        <f>IF(Sales_Data[[#This Row],[Forex Rate]]&lt;900,"Below 900",IF(Sales_Data[[#This Row],[Forex Rate]]&lt;1100,"900–1099",IF(Sales_Data[[#This Row],[Forex Rate]]&lt;1300,"1100–1299","1300+")))</f>
        <v>1300+</v>
      </c>
      <c r="K37">
        <v>758623</v>
      </c>
      <c r="L37">
        <v>19185905</v>
      </c>
      <c r="M37">
        <v>-107728</v>
      </c>
      <c r="N37" t="str">
        <f>IF(Sales_Data[[#This Row],[Profit]]&lt;0,"Loss","Profit")</f>
        <v>Loss</v>
      </c>
      <c r="O37" s="2">
        <v>-5.6149553539434297E-3</v>
      </c>
    </row>
    <row r="38" spans="1:15" x14ac:dyDescent="0.25">
      <c r="A38" s="1">
        <v>45787</v>
      </c>
      <c r="B38" t="s">
        <v>17</v>
      </c>
      <c r="C38" t="s">
        <v>3</v>
      </c>
      <c r="D38" t="s">
        <v>35</v>
      </c>
      <c r="E38" t="s">
        <v>11</v>
      </c>
      <c r="F38">
        <v>32528</v>
      </c>
      <c r="G38">
        <v>596</v>
      </c>
      <c r="H38">
        <v>851</v>
      </c>
      <c r="I38">
        <v>1401</v>
      </c>
      <c r="J38" t="str">
        <f>IF(Sales_Data[[#This Row],[Forex Rate]]&lt;900,"Below 900",IF(Sales_Data[[#This Row],[Forex Rate]]&lt;1100,"900–1099",IF(Sales_Data[[#This Row],[Forex Rate]]&lt;1300,"1100–1299","1300+")))</f>
        <v>1300+</v>
      </c>
      <c r="K38">
        <v>882054</v>
      </c>
      <c r="L38">
        <v>27681328</v>
      </c>
      <c r="M38">
        <v>7412586</v>
      </c>
      <c r="N38" t="str">
        <f>IF(Sales_Data[[#This Row],[Profit]]&lt;0,"Loss","Profit")</f>
        <v>Profit</v>
      </c>
      <c r="O38" s="2">
        <v>0.26778288960703001</v>
      </c>
    </row>
    <row r="39" spans="1:15" x14ac:dyDescent="0.25">
      <c r="A39" s="1">
        <v>45777</v>
      </c>
      <c r="B39" t="s">
        <v>16</v>
      </c>
      <c r="C39" t="s">
        <v>3</v>
      </c>
      <c r="D39" t="s">
        <v>36</v>
      </c>
      <c r="E39" t="s">
        <v>10</v>
      </c>
      <c r="F39">
        <v>22589</v>
      </c>
      <c r="G39">
        <v>676</v>
      </c>
      <c r="H39">
        <v>653</v>
      </c>
      <c r="I39">
        <v>1467</v>
      </c>
      <c r="J39" t="str">
        <f>IF(Sales_Data[[#This Row],[Forex Rate]]&lt;900,"Below 900",IF(Sales_Data[[#This Row],[Forex Rate]]&lt;1100,"900–1099",IF(Sales_Data[[#This Row],[Forex Rate]]&lt;1300,"1100–1299","1300+")))</f>
        <v>1300+</v>
      </c>
      <c r="K39">
        <v>718317</v>
      </c>
      <c r="L39">
        <v>14750617</v>
      </c>
      <c r="M39">
        <v>-1237864</v>
      </c>
      <c r="N39" t="str">
        <f>IF(Sales_Data[[#This Row],[Profit]]&lt;0,"Loss","Profit")</f>
        <v>Loss</v>
      </c>
      <c r="O39" s="2">
        <v>-8.3919472656635297E-2</v>
      </c>
    </row>
    <row r="40" spans="1:15" x14ac:dyDescent="0.25">
      <c r="A40" s="1">
        <v>45748</v>
      </c>
      <c r="B40" t="s">
        <v>16</v>
      </c>
      <c r="C40" t="s">
        <v>9</v>
      </c>
      <c r="D40" t="s">
        <v>35</v>
      </c>
      <c r="E40" t="s">
        <v>11</v>
      </c>
      <c r="F40">
        <v>22371</v>
      </c>
      <c r="G40">
        <v>630</v>
      </c>
      <c r="H40">
        <v>697</v>
      </c>
      <c r="I40">
        <v>1488</v>
      </c>
      <c r="J40" t="str">
        <f>IF(Sales_Data[[#This Row],[Forex Rate]]&lt;900,"Below 900",IF(Sales_Data[[#This Row],[Forex Rate]]&lt;1100,"900–1099",IF(Sales_Data[[#This Row],[Forex Rate]]&lt;1300,"1100–1299","1300+")))</f>
        <v>1300+</v>
      </c>
      <c r="K40">
        <v>642323</v>
      </c>
      <c r="L40">
        <v>15592587</v>
      </c>
      <c r="M40">
        <v>856534</v>
      </c>
      <c r="N40" t="str">
        <f>IF(Sales_Data[[#This Row],[Profit]]&lt;0,"Loss","Profit")</f>
        <v>Profit</v>
      </c>
      <c r="O40" s="2">
        <v>5.49321289661555E-2</v>
      </c>
    </row>
    <row r="41" spans="1:15" x14ac:dyDescent="0.25">
      <c r="A41" s="1">
        <v>45662</v>
      </c>
      <c r="B41" t="s">
        <v>18</v>
      </c>
      <c r="C41" t="s">
        <v>3</v>
      </c>
      <c r="D41" t="s">
        <v>35</v>
      </c>
      <c r="E41" t="s">
        <v>7</v>
      </c>
      <c r="F41">
        <v>19522</v>
      </c>
      <c r="G41">
        <v>604</v>
      </c>
      <c r="H41">
        <v>616</v>
      </c>
      <c r="I41">
        <v>1498</v>
      </c>
      <c r="J41" t="str">
        <f>IF(Sales_Data[[#This Row],[Forex Rate]]&lt;900,"Below 900",IF(Sales_Data[[#This Row],[Forex Rate]]&lt;1100,"900–1099",IF(Sales_Data[[#This Row],[Forex Rate]]&lt;1300,"1100–1299","1300+")))</f>
        <v>1300+</v>
      </c>
      <c r="K41">
        <v>936996</v>
      </c>
      <c r="L41">
        <v>12025552</v>
      </c>
      <c r="M41">
        <v>-702732</v>
      </c>
      <c r="N41" t="str">
        <f>IF(Sales_Data[[#This Row],[Profit]]&lt;0,"Loss","Profit")</f>
        <v>Loss</v>
      </c>
      <c r="O41" s="2">
        <v>-5.8436569065603003E-2</v>
      </c>
    </row>
    <row r="42" spans="1:15" x14ac:dyDescent="0.25">
      <c r="A42" s="1">
        <v>45717</v>
      </c>
      <c r="B42" t="s">
        <v>14</v>
      </c>
      <c r="C42" t="s">
        <v>6</v>
      </c>
      <c r="D42" t="s">
        <v>35</v>
      </c>
      <c r="E42" t="s">
        <v>7</v>
      </c>
      <c r="F42">
        <v>17621</v>
      </c>
      <c r="G42">
        <v>566</v>
      </c>
      <c r="H42">
        <v>654</v>
      </c>
      <c r="I42">
        <v>1405</v>
      </c>
      <c r="J42" t="str">
        <f>IF(Sales_Data[[#This Row],[Forex Rate]]&lt;900,"Below 900",IF(Sales_Data[[#This Row],[Forex Rate]]&lt;1100,"900–1099",IF(Sales_Data[[#This Row],[Forex Rate]]&lt;1300,"1100–1299","1300+")))</f>
        <v>1300+</v>
      </c>
      <c r="K42">
        <v>649484</v>
      </c>
      <c r="L42">
        <v>11524134</v>
      </c>
      <c r="M42">
        <v>901164</v>
      </c>
      <c r="N42" t="str">
        <f>IF(Sales_Data[[#This Row],[Profit]]&lt;0,"Loss","Profit")</f>
        <v>Profit</v>
      </c>
      <c r="O42" s="2">
        <v>7.8197979995720299E-2</v>
      </c>
    </row>
    <row r="43" spans="1:15" x14ac:dyDescent="0.25">
      <c r="A43" s="1">
        <v>45733</v>
      </c>
      <c r="B43" t="s">
        <v>14</v>
      </c>
      <c r="C43" t="s">
        <v>6</v>
      </c>
      <c r="D43" t="s">
        <v>34</v>
      </c>
      <c r="E43" t="s">
        <v>4</v>
      </c>
      <c r="F43">
        <v>16759</v>
      </c>
      <c r="G43">
        <v>580</v>
      </c>
      <c r="H43">
        <v>475</v>
      </c>
      <c r="I43">
        <v>1250</v>
      </c>
      <c r="J43" t="str">
        <f>IF(Sales_Data[[#This Row],[Forex Rate]]&lt;900,"Below 900",IF(Sales_Data[[#This Row],[Forex Rate]]&lt;1100,"900–1099",IF(Sales_Data[[#This Row],[Forex Rate]]&lt;1300,"1100–1299","1300+")))</f>
        <v>1100–1299</v>
      </c>
      <c r="K43">
        <v>307570</v>
      </c>
      <c r="L43">
        <v>7960525</v>
      </c>
      <c r="M43">
        <v>-2067265</v>
      </c>
      <c r="N43" t="str">
        <f>IF(Sales_Data[[#This Row],[Profit]]&lt;0,"Loss","Profit")</f>
        <v>Loss</v>
      </c>
      <c r="O43" s="2">
        <v>-0.25968953052719501</v>
      </c>
    </row>
    <row r="44" spans="1:15" x14ac:dyDescent="0.25">
      <c r="A44" s="1">
        <v>45780</v>
      </c>
      <c r="B44" t="s">
        <v>17</v>
      </c>
      <c r="C44" t="s">
        <v>3</v>
      </c>
      <c r="D44" t="s">
        <v>35</v>
      </c>
      <c r="E44" t="s">
        <v>7</v>
      </c>
      <c r="F44">
        <v>27328</v>
      </c>
      <c r="G44">
        <v>496</v>
      </c>
      <c r="H44">
        <v>596</v>
      </c>
      <c r="I44">
        <v>1431</v>
      </c>
      <c r="J44" t="str">
        <f>IF(Sales_Data[[#This Row],[Forex Rate]]&lt;900,"Below 900",IF(Sales_Data[[#This Row],[Forex Rate]]&lt;1100,"900–1099",IF(Sales_Data[[#This Row],[Forex Rate]]&lt;1300,"1100–1299","1300+")))</f>
        <v>1300+</v>
      </c>
      <c r="K44">
        <v>649484</v>
      </c>
      <c r="L44">
        <v>16287488</v>
      </c>
      <c r="M44">
        <v>2083316</v>
      </c>
      <c r="N44" t="str">
        <f>IF(Sales_Data[[#This Row],[Profit]]&lt;0,"Loss","Profit")</f>
        <v>Profit</v>
      </c>
      <c r="O44" s="2">
        <v>0.12790898142181301</v>
      </c>
    </row>
    <row r="45" spans="1:15" x14ac:dyDescent="0.25">
      <c r="A45" s="1">
        <v>45688</v>
      </c>
      <c r="B45" t="s">
        <v>18</v>
      </c>
      <c r="C45" t="s">
        <v>6</v>
      </c>
      <c r="D45" t="s">
        <v>34</v>
      </c>
      <c r="E45" t="s">
        <v>4</v>
      </c>
      <c r="F45">
        <v>19983</v>
      </c>
      <c r="G45">
        <v>577</v>
      </c>
      <c r="H45">
        <v>584</v>
      </c>
      <c r="I45">
        <v>1400</v>
      </c>
      <c r="J45" t="str">
        <f>IF(Sales_Data[[#This Row],[Forex Rate]]&lt;900,"Below 900",IF(Sales_Data[[#This Row],[Forex Rate]]&lt;1100,"900–1099",IF(Sales_Data[[#This Row],[Forex Rate]]&lt;1300,"1100–1299","1300+")))</f>
        <v>1300+</v>
      </c>
      <c r="K45">
        <v>976039</v>
      </c>
      <c r="L45">
        <v>11670072</v>
      </c>
      <c r="M45">
        <v>-836158</v>
      </c>
      <c r="N45" t="str">
        <f>IF(Sales_Data[[#This Row],[Profit]]&lt;0,"Loss","Profit")</f>
        <v>Loss</v>
      </c>
      <c r="O45" s="2">
        <v>-7.1649772169357598E-2</v>
      </c>
    </row>
    <row r="46" spans="1:15" x14ac:dyDescent="0.25">
      <c r="A46" s="1">
        <v>45827</v>
      </c>
      <c r="B46" t="s">
        <v>19</v>
      </c>
      <c r="C46" t="s">
        <v>3</v>
      </c>
      <c r="D46" t="s">
        <v>34</v>
      </c>
      <c r="E46" t="s">
        <v>5</v>
      </c>
      <c r="F46">
        <v>15292</v>
      </c>
      <c r="G46">
        <v>467</v>
      </c>
      <c r="H46">
        <v>717</v>
      </c>
      <c r="I46">
        <v>1315</v>
      </c>
      <c r="J46" t="str">
        <f>IF(Sales_Data[[#This Row],[Forex Rate]]&lt;900,"Below 900",IF(Sales_Data[[#This Row],[Forex Rate]]&lt;1100,"900–1099",IF(Sales_Data[[#This Row],[Forex Rate]]&lt;1300,"1100–1299","1300+")))</f>
        <v>1300+</v>
      </c>
      <c r="K46">
        <v>1101362</v>
      </c>
      <c r="L46">
        <v>10964364</v>
      </c>
      <c r="M46">
        <v>2721638</v>
      </c>
      <c r="N46" t="str">
        <f>IF(Sales_Data[[#This Row],[Profit]]&lt;0,"Loss","Profit")</f>
        <v>Profit</v>
      </c>
      <c r="O46" s="2">
        <v>0.24822579768420699</v>
      </c>
    </row>
    <row r="47" spans="1:15" x14ac:dyDescent="0.25">
      <c r="A47" s="1">
        <v>45725</v>
      </c>
      <c r="B47" t="s">
        <v>14</v>
      </c>
      <c r="C47" t="s">
        <v>9</v>
      </c>
      <c r="D47" t="s">
        <v>36</v>
      </c>
      <c r="E47" t="s">
        <v>8</v>
      </c>
      <c r="F47">
        <v>21285</v>
      </c>
      <c r="G47">
        <v>465</v>
      </c>
      <c r="H47">
        <v>566</v>
      </c>
      <c r="I47">
        <v>1405</v>
      </c>
      <c r="J47" t="str">
        <f>IF(Sales_Data[[#This Row],[Forex Rate]]&lt;900,"Below 900",IF(Sales_Data[[#This Row],[Forex Rate]]&lt;1100,"900–1099",IF(Sales_Data[[#This Row],[Forex Rate]]&lt;1300,"1100–1299","1300+")))</f>
        <v>1300+</v>
      </c>
      <c r="K47">
        <v>502630</v>
      </c>
      <c r="L47">
        <v>12047310</v>
      </c>
      <c r="M47">
        <v>1647155</v>
      </c>
      <c r="N47" t="str">
        <f>IF(Sales_Data[[#This Row],[Profit]]&lt;0,"Loss","Profit")</f>
        <v>Profit</v>
      </c>
      <c r="O47" s="2">
        <v>0.13672388275889</v>
      </c>
    </row>
    <row r="48" spans="1:15" x14ac:dyDescent="0.25">
      <c r="A48" s="1">
        <v>45837</v>
      </c>
      <c r="B48" t="s">
        <v>19</v>
      </c>
      <c r="C48" t="s">
        <v>9</v>
      </c>
      <c r="D48" t="s">
        <v>35</v>
      </c>
      <c r="E48" t="s">
        <v>7</v>
      </c>
      <c r="F48">
        <v>29491</v>
      </c>
      <c r="G48">
        <v>568</v>
      </c>
      <c r="H48">
        <v>781</v>
      </c>
      <c r="I48">
        <v>1389</v>
      </c>
      <c r="J48" t="str">
        <f>IF(Sales_Data[[#This Row],[Forex Rate]]&lt;900,"Below 900",IF(Sales_Data[[#This Row],[Forex Rate]]&lt;1100,"900–1099",IF(Sales_Data[[#This Row],[Forex Rate]]&lt;1300,"1100–1299","1300+")))</f>
        <v>1300+</v>
      </c>
      <c r="K48">
        <v>649484</v>
      </c>
      <c r="L48">
        <v>23032471</v>
      </c>
      <c r="M48">
        <v>5632099</v>
      </c>
      <c r="N48" t="str">
        <f>IF(Sales_Data[[#This Row],[Profit]]&lt;0,"Loss","Profit")</f>
        <v>Profit</v>
      </c>
      <c r="O48" s="2">
        <v>0.24452864827225901</v>
      </c>
    </row>
    <row r="49" spans="1:15" x14ac:dyDescent="0.25">
      <c r="A49" s="1">
        <v>45805</v>
      </c>
      <c r="B49" t="s">
        <v>17</v>
      </c>
      <c r="C49" t="s">
        <v>3</v>
      </c>
      <c r="D49" t="s">
        <v>34</v>
      </c>
      <c r="E49" t="s">
        <v>5</v>
      </c>
      <c r="F49">
        <v>23880</v>
      </c>
      <c r="G49">
        <v>615</v>
      </c>
      <c r="H49">
        <v>646</v>
      </c>
      <c r="I49">
        <v>1388</v>
      </c>
      <c r="J49" t="str">
        <f>IF(Sales_Data[[#This Row],[Forex Rate]]&lt;900,"Below 900",IF(Sales_Data[[#This Row],[Forex Rate]]&lt;1100,"900–1099",IF(Sales_Data[[#This Row],[Forex Rate]]&lt;1300,"1100–1299","1300+")))</f>
        <v>1300+</v>
      </c>
      <c r="K49">
        <v>680425</v>
      </c>
      <c r="L49">
        <v>15426480</v>
      </c>
      <c r="M49">
        <v>59855</v>
      </c>
      <c r="N49" t="str">
        <f>IF(Sales_Data[[#This Row],[Profit]]&lt;0,"Loss","Profit")</f>
        <v>Profit</v>
      </c>
      <c r="O49" s="2">
        <v>3.8800166985598801E-3</v>
      </c>
    </row>
    <row r="50" spans="1:15" x14ac:dyDescent="0.25">
      <c r="A50" s="1">
        <v>45763</v>
      </c>
      <c r="B50" t="s">
        <v>16</v>
      </c>
      <c r="C50" t="s">
        <v>9</v>
      </c>
      <c r="D50" t="s">
        <v>34</v>
      </c>
      <c r="E50" t="s">
        <v>5</v>
      </c>
      <c r="F50">
        <v>22232</v>
      </c>
      <c r="G50">
        <v>446</v>
      </c>
      <c r="H50">
        <v>887</v>
      </c>
      <c r="I50">
        <v>1546</v>
      </c>
      <c r="J50" t="str">
        <f>IF(Sales_Data[[#This Row],[Forex Rate]]&lt;900,"Below 900",IF(Sales_Data[[#This Row],[Forex Rate]]&lt;1100,"900–1099",IF(Sales_Data[[#This Row],[Forex Rate]]&lt;1300,"1100–1299","1300+")))</f>
        <v>1300+</v>
      </c>
      <c r="K50">
        <v>680425</v>
      </c>
      <c r="L50">
        <v>19719784</v>
      </c>
      <c r="M50">
        <v>9123887</v>
      </c>
      <c r="N50" t="str">
        <f>IF(Sales_Data[[#This Row],[Profit]]&lt;0,"Loss","Profit")</f>
        <v>Profit</v>
      </c>
      <c r="O50" s="2">
        <v>0.46267682242361302</v>
      </c>
    </row>
    <row r="51" spans="1:15" x14ac:dyDescent="0.25">
      <c r="A51" s="1">
        <v>45706</v>
      </c>
      <c r="B51" t="s">
        <v>15</v>
      </c>
      <c r="C51" t="s">
        <v>6</v>
      </c>
      <c r="D51" t="s">
        <v>35</v>
      </c>
      <c r="E51" t="s">
        <v>11</v>
      </c>
      <c r="F51">
        <v>37669</v>
      </c>
      <c r="G51">
        <v>585</v>
      </c>
      <c r="H51">
        <v>643</v>
      </c>
      <c r="I51">
        <v>1212</v>
      </c>
      <c r="J51" t="str">
        <f>IF(Sales_Data[[#This Row],[Forex Rate]]&lt;900,"Below 900",IF(Sales_Data[[#This Row],[Forex Rate]]&lt;1100,"900–1099",IF(Sales_Data[[#This Row],[Forex Rate]]&lt;1300,"1100–1299","1300+")))</f>
        <v>1100–1299</v>
      </c>
      <c r="K51">
        <v>366071</v>
      </c>
      <c r="L51">
        <v>24221167</v>
      </c>
      <c r="M51">
        <v>1818731</v>
      </c>
      <c r="N51" t="str">
        <f>IF(Sales_Data[[#This Row],[Profit]]&lt;0,"Loss","Profit")</f>
        <v>Profit</v>
      </c>
      <c r="O51" s="2">
        <v>7.5088495942412695E-2</v>
      </c>
    </row>
    <row r="52" spans="1:15" x14ac:dyDescent="0.25">
      <c r="A52" s="1">
        <v>45681</v>
      </c>
      <c r="B52" t="s">
        <v>18</v>
      </c>
      <c r="C52" t="s">
        <v>3</v>
      </c>
      <c r="D52" t="s">
        <v>34</v>
      </c>
      <c r="E52" t="s">
        <v>5</v>
      </c>
      <c r="F52">
        <v>12435</v>
      </c>
      <c r="G52">
        <v>604</v>
      </c>
      <c r="H52">
        <v>581</v>
      </c>
      <c r="I52">
        <v>1393</v>
      </c>
      <c r="J52" t="str">
        <f>IF(Sales_Data[[#This Row],[Forex Rate]]&lt;900,"Below 900",IF(Sales_Data[[#This Row],[Forex Rate]]&lt;1100,"900–1099",IF(Sales_Data[[#This Row],[Forex Rate]]&lt;1300,"1100–1299","1300+")))</f>
        <v>1300+</v>
      </c>
      <c r="K52">
        <v>680425</v>
      </c>
      <c r="L52">
        <v>7224735</v>
      </c>
      <c r="M52">
        <v>-966430</v>
      </c>
      <c r="N52" t="str">
        <f>IF(Sales_Data[[#This Row],[Profit]]&lt;0,"Loss","Profit")</f>
        <v>Loss</v>
      </c>
      <c r="O52" s="2">
        <v>-0.13376684404341499</v>
      </c>
    </row>
    <row r="53" spans="1:15" x14ac:dyDescent="0.25">
      <c r="A53" s="1">
        <v>45811</v>
      </c>
      <c r="B53" t="s">
        <v>19</v>
      </c>
      <c r="C53" t="s">
        <v>9</v>
      </c>
      <c r="D53" t="s">
        <v>35</v>
      </c>
      <c r="E53" t="s">
        <v>11</v>
      </c>
      <c r="F53">
        <v>23104</v>
      </c>
      <c r="G53">
        <v>656</v>
      </c>
      <c r="H53">
        <v>577</v>
      </c>
      <c r="I53">
        <v>1389</v>
      </c>
      <c r="J53" t="str">
        <f>IF(Sales_Data[[#This Row],[Forex Rate]]&lt;900,"Below 900",IF(Sales_Data[[#This Row],[Forex Rate]]&lt;1100,"900–1099",IF(Sales_Data[[#This Row],[Forex Rate]]&lt;1300,"1100–1299","1300+")))</f>
        <v>1300+</v>
      </c>
      <c r="K53">
        <v>713425</v>
      </c>
      <c r="L53">
        <v>13331008</v>
      </c>
      <c r="M53">
        <v>-2538641</v>
      </c>
      <c r="N53" t="str">
        <f>IF(Sales_Data[[#This Row],[Profit]]&lt;0,"Loss","Profit")</f>
        <v>Loss</v>
      </c>
      <c r="O53" s="2">
        <v>-0.190431286216316</v>
      </c>
    </row>
    <row r="54" spans="1:15" x14ac:dyDescent="0.25">
      <c r="A54" s="1">
        <v>45746</v>
      </c>
      <c r="B54" t="s">
        <v>14</v>
      </c>
      <c r="C54" t="s">
        <v>6</v>
      </c>
      <c r="D54" t="s">
        <v>36</v>
      </c>
      <c r="E54" t="s">
        <v>10</v>
      </c>
      <c r="F54">
        <v>40614</v>
      </c>
      <c r="G54">
        <v>557</v>
      </c>
      <c r="H54">
        <v>557</v>
      </c>
      <c r="I54">
        <v>1293</v>
      </c>
      <c r="J54" t="str">
        <f>IF(Sales_Data[[#This Row],[Forex Rate]]&lt;900,"Below 900",IF(Sales_Data[[#This Row],[Forex Rate]]&lt;1100,"900–1099",IF(Sales_Data[[#This Row],[Forex Rate]]&lt;1300,"1100–1299","1300+")))</f>
        <v>1100–1299</v>
      </c>
      <c r="K54">
        <v>980879</v>
      </c>
      <c r="L54">
        <v>22621998</v>
      </c>
      <c r="M54">
        <v>-980879</v>
      </c>
      <c r="N54" t="str">
        <f>IF(Sales_Data[[#This Row],[Profit]]&lt;0,"Loss","Profit")</f>
        <v>Loss</v>
      </c>
      <c r="O54" s="2">
        <v>-4.3359521117453899E-2</v>
      </c>
    </row>
    <row r="55" spans="1:15" x14ac:dyDescent="0.25">
      <c r="A55" s="1">
        <v>45827</v>
      </c>
      <c r="B55" t="s">
        <v>19</v>
      </c>
      <c r="C55" t="s">
        <v>3</v>
      </c>
      <c r="D55" t="s">
        <v>35</v>
      </c>
      <c r="E55" t="s">
        <v>7</v>
      </c>
      <c r="F55">
        <v>37461</v>
      </c>
      <c r="G55">
        <v>571</v>
      </c>
      <c r="H55">
        <v>648</v>
      </c>
      <c r="I55">
        <v>1389</v>
      </c>
      <c r="J55" t="str">
        <f>IF(Sales_Data[[#This Row],[Forex Rate]]&lt;900,"Below 900",IF(Sales_Data[[#This Row],[Forex Rate]]&lt;1100,"900–1099",IF(Sales_Data[[#This Row],[Forex Rate]]&lt;1300,"1100–1299","1300+")))</f>
        <v>1300+</v>
      </c>
      <c r="K55">
        <v>278463</v>
      </c>
      <c r="L55">
        <v>24274728</v>
      </c>
      <c r="M55">
        <v>2606034</v>
      </c>
      <c r="N55" t="str">
        <f>IF(Sales_Data[[#This Row],[Profit]]&lt;0,"Loss","Profit")</f>
        <v>Profit</v>
      </c>
      <c r="O55" s="2">
        <v>0.107355847612381</v>
      </c>
    </row>
    <row r="56" spans="1:15" x14ac:dyDescent="0.25">
      <c r="A56" s="1">
        <v>45824</v>
      </c>
      <c r="B56" t="s">
        <v>19</v>
      </c>
      <c r="C56" t="s">
        <v>6</v>
      </c>
      <c r="D56" t="s">
        <v>35</v>
      </c>
      <c r="E56" t="s">
        <v>7</v>
      </c>
      <c r="F56">
        <v>39971</v>
      </c>
      <c r="G56">
        <v>608</v>
      </c>
      <c r="H56">
        <v>714</v>
      </c>
      <c r="I56">
        <v>1474</v>
      </c>
      <c r="J56" t="str">
        <f>IF(Sales_Data[[#This Row],[Forex Rate]]&lt;900,"Below 900",IF(Sales_Data[[#This Row],[Forex Rate]]&lt;1100,"900–1099",IF(Sales_Data[[#This Row],[Forex Rate]]&lt;1300,"1100–1299","1300+")))</f>
        <v>1300+</v>
      </c>
      <c r="K56">
        <v>438536</v>
      </c>
      <c r="L56">
        <v>28539294</v>
      </c>
      <c r="M56">
        <v>3798390</v>
      </c>
      <c r="N56" t="str">
        <f>IF(Sales_Data[[#This Row],[Profit]]&lt;0,"Loss","Profit")</f>
        <v>Profit</v>
      </c>
      <c r="O56" s="2">
        <v>0.13309334141202001</v>
      </c>
    </row>
    <row r="57" spans="1:15" x14ac:dyDescent="0.25">
      <c r="A57" s="1">
        <v>45771</v>
      </c>
      <c r="B57" t="s">
        <v>16</v>
      </c>
      <c r="C57" t="s">
        <v>6</v>
      </c>
      <c r="D57" t="s">
        <v>34</v>
      </c>
      <c r="E57" t="s">
        <v>4</v>
      </c>
      <c r="F57">
        <v>24625</v>
      </c>
      <c r="G57">
        <v>437</v>
      </c>
      <c r="H57">
        <v>516</v>
      </c>
      <c r="I57">
        <v>1426</v>
      </c>
      <c r="J57" t="str">
        <f>IF(Sales_Data[[#This Row],[Forex Rate]]&lt;900,"Below 900",IF(Sales_Data[[#This Row],[Forex Rate]]&lt;1100,"900–1099",IF(Sales_Data[[#This Row],[Forex Rate]]&lt;1300,"1100–1299","1300+")))</f>
        <v>1300+</v>
      </c>
      <c r="K57">
        <v>697375</v>
      </c>
      <c r="L57">
        <v>12706500</v>
      </c>
      <c r="M57">
        <v>1248000</v>
      </c>
      <c r="N57" t="str">
        <f>IF(Sales_Data[[#This Row],[Profit]]&lt;0,"Loss","Profit")</f>
        <v>Profit</v>
      </c>
      <c r="O57" s="2">
        <v>9.8217447762956003E-2</v>
      </c>
    </row>
    <row r="58" spans="1:15" x14ac:dyDescent="0.25">
      <c r="A58" s="1">
        <v>45785</v>
      </c>
      <c r="B58" t="s">
        <v>17</v>
      </c>
      <c r="C58" t="s">
        <v>6</v>
      </c>
      <c r="D58" t="s">
        <v>36</v>
      </c>
      <c r="E58" t="s">
        <v>8</v>
      </c>
      <c r="F58">
        <v>17892</v>
      </c>
      <c r="G58">
        <v>496</v>
      </c>
      <c r="H58">
        <v>659</v>
      </c>
      <c r="I58">
        <v>1263</v>
      </c>
      <c r="J58" t="str">
        <f>IF(Sales_Data[[#This Row],[Forex Rate]]&lt;900,"Below 900",IF(Sales_Data[[#This Row],[Forex Rate]]&lt;1100,"900–1099",IF(Sales_Data[[#This Row],[Forex Rate]]&lt;1300,"1100–1299","1300+")))</f>
        <v>1100–1299</v>
      </c>
      <c r="K58">
        <v>675852</v>
      </c>
      <c r="L58">
        <v>11790828</v>
      </c>
      <c r="M58">
        <v>2240544</v>
      </c>
      <c r="N58" t="str">
        <f>IF(Sales_Data[[#This Row],[Profit]]&lt;0,"Loss","Profit")</f>
        <v>Profit</v>
      </c>
      <c r="O58" s="2">
        <v>0.19002431381409299</v>
      </c>
    </row>
    <row r="59" spans="1:15" x14ac:dyDescent="0.25">
      <c r="A59" s="1">
        <v>45834</v>
      </c>
      <c r="B59" t="s">
        <v>19</v>
      </c>
      <c r="C59" t="s">
        <v>6</v>
      </c>
      <c r="D59" t="s">
        <v>36</v>
      </c>
      <c r="E59" t="s">
        <v>10</v>
      </c>
      <c r="F59">
        <v>34939</v>
      </c>
      <c r="G59">
        <v>720</v>
      </c>
      <c r="H59">
        <v>707</v>
      </c>
      <c r="I59">
        <v>1389</v>
      </c>
      <c r="J59" t="str">
        <f>IF(Sales_Data[[#This Row],[Forex Rate]]&lt;900,"Below 900",IF(Sales_Data[[#This Row],[Forex Rate]]&lt;1100,"900–1099",IF(Sales_Data[[#This Row],[Forex Rate]]&lt;1300,"1100–1299","1300+")))</f>
        <v>1300+</v>
      </c>
      <c r="K59">
        <v>615032</v>
      </c>
      <c r="L59">
        <v>24701873</v>
      </c>
      <c r="M59">
        <v>-1069239</v>
      </c>
      <c r="N59" t="str">
        <f>IF(Sales_Data[[#This Row],[Profit]]&lt;0,"Loss","Profit")</f>
        <v>Loss</v>
      </c>
      <c r="O59" s="2">
        <v>-4.3285745983715498E-2</v>
      </c>
    </row>
    <row r="60" spans="1:15" x14ac:dyDescent="0.25">
      <c r="A60" s="1">
        <v>45813</v>
      </c>
      <c r="B60" t="s">
        <v>19</v>
      </c>
      <c r="C60" t="s">
        <v>3</v>
      </c>
      <c r="D60" t="s">
        <v>36</v>
      </c>
      <c r="E60" t="s">
        <v>8</v>
      </c>
      <c r="F60">
        <v>26124</v>
      </c>
      <c r="G60">
        <v>661</v>
      </c>
      <c r="H60">
        <v>739</v>
      </c>
      <c r="I60">
        <v>1389</v>
      </c>
      <c r="J60" t="str">
        <f>IF(Sales_Data[[#This Row],[Forex Rate]]&lt;900,"Below 900",IF(Sales_Data[[#This Row],[Forex Rate]]&lt;1100,"900–1099",IF(Sales_Data[[#This Row],[Forex Rate]]&lt;1300,"1100–1299","1300+")))</f>
        <v>1300+</v>
      </c>
      <c r="K60">
        <v>523939</v>
      </c>
      <c r="L60">
        <v>19305636</v>
      </c>
      <c r="M60">
        <v>1513733</v>
      </c>
      <c r="N60" t="str">
        <f>IF(Sales_Data[[#This Row],[Profit]]&lt;0,"Loss","Profit")</f>
        <v>Profit</v>
      </c>
      <c r="O60" s="2">
        <v>7.8408864644500698E-2</v>
      </c>
    </row>
    <row r="61" spans="1:15" x14ac:dyDescent="0.25">
      <c r="A61" s="1">
        <v>45691</v>
      </c>
      <c r="B61" t="s">
        <v>15</v>
      </c>
      <c r="C61" t="s">
        <v>9</v>
      </c>
      <c r="D61" t="s">
        <v>36</v>
      </c>
      <c r="E61" t="s">
        <v>10</v>
      </c>
      <c r="F61">
        <v>23786</v>
      </c>
      <c r="G61">
        <v>532</v>
      </c>
      <c r="H61">
        <v>844</v>
      </c>
      <c r="I61">
        <v>1412</v>
      </c>
      <c r="J61" t="str">
        <f>IF(Sales_Data[[#This Row],[Forex Rate]]&lt;900,"Below 900",IF(Sales_Data[[#This Row],[Forex Rate]]&lt;1100,"900–1099",IF(Sales_Data[[#This Row],[Forex Rate]]&lt;1300,"1100–1299","1300+")))</f>
        <v>1300+</v>
      </c>
      <c r="K61">
        <v>1158449</v>
      </c>
      <c r="L61">
        <v>20075384</v>
      </c>
      <c r="M61">
        <v>6262783</v>
      </c>
      <c r="N61" t="str">
        <f>IF(Sales_Data[[#This Row],[Profit]]&lt;0,"Loss","Profit")</f>
        <v>Profit</v>
      </c>
      <c r="O61" s="2">
        <v>0.31196329793741401</v>
      </c>
    </row>
    <row r="62" spans="1:15" x14ac:dyDescent="0.25">
      <c r="A62" s="1">
        <v>45687</v>
      </c>
      <c r="B62" t="s">
        <v>18</v>
      </c>
      <c r="C62" t="s">
        <v>6</v>
      </c>
      <c r="D62" t="s">
        <v>36</v>
      </c>
      <c r="E62" t="s">
        <v>10</v>
      </c>
      <c r="F62">
        <v>9934</v>
      </c>
      <c r="G62">
        <v>637</v>
      </c>
      <c r="H62">
        <v>812</v>
      </c>
      <c r="I62">
        <v>1358</v>
      </c>
      <c r="J62" t="str">
        <f>IF(Sales_Data[[#This Row],[Forex Rate]]&lt;900,"Below 900",IF(Sales_Data[[#This Row],[Forex Rate]]&lt;1100,"900–1099",IF(Sales_Data[[#This Row],[Forex Rate]]&lt;1300,"1100–1299","1300+")))</f>
        <v>1300+</v>
      </c>
      <c r="K62">
        <v>329592</v>
      </c>
      <c r="L62">
        <v>8066408</v>
      </c>
      <c r="M62">
        <v>1408858</v>
      </c>
      <c r="N62" t="str">
        <f>IF(Sales_Data[[#This Row],[Profit]]&lt;0,"Loss","Profit")</f>
        <v>Profit</v>
      </c>
      <c r="O62" s="2">
        <v>0.17465741876681701</v>
      </c>
    </row>
    <row r="63" spans="1:15" x14ac:dyDescent="0.25">
      <c r="A63" s="1">
        <v>45807</v>
      </c>
      <c r="B63" t="s">
        <v>17</v>
      </c>
      <c r="C63" t="s">
        <v>6</v>
      </c>
      <c r="D63" t="s">
        <v>36</v>
      </c>
      <c r="E63" t="s">
        <v>10</v>
      </c>
      <c r="F63">
        <v>27381</v>
      </c>
      <c r="G63">
        <v>595</v>
      </c>
      <c r="H63">
        <v>673</v>
      </c>
      <c r="I63">
        <v>1454</v>
      </c>
      <c r="J63" t="str">
        <f>IF(Sales_Data[[#This Row],[Forex Rate]]&lt;900,"Below 900",IF(Sales_Data[[#This Row],[Forex Rate]]&lt;1100,"900–1099",IF(Sales_Data[[#This Row],[Forex Rate]]&lt;1300,"1100–1299","1300+")))</f>
        <v>1300+</v>
      </c>
      <c r="K63">
        <v>935132</v>
      </c>
      <c r="L63">
        <v>18427413</v>
      </c>
      <c r="M63">
        <v>1200586</v>
      </c>
      <c r="N63" t="str">
        <f>IF(Sales_Data[[#This Row],[Profit]]&lt;0,"Loss","Profit")</f>
        <v>Profit</v>
      </c>
      <c r="O63" s="2">
        <v>6.5152173015278897E-2</v>
      </c>
    </row>
    <row r="64" spans="1:15" x14ac:dyDescent="0.25">
      <c r="A64" s="1">
        <v>45693</v>
      </c>
      <c r="B64" t="s">
        <v>15</v>
      </c>
      <c r="C64" t="s">
        <v>3</v>
      </c>
      <c r="D64" t="s">
        <v>35</v>
      </c>
      <c r="E64" t="s">
        <v>11</v>
      </c>
      <c r="F64">
        <v>24946</v>
      </c>
      <c r="G64">
        <v>550</v>
      </c>
      <c r="H64">
        <v>511</v>
      </c>
      <c r="I64">
        <v>1391</v>
      </c>
      <c r="J64" t="str">
        <f>IF(Sales_Data[[#This Row],[Forex Rate]]&lt;900,"Below 900",IF(Sales_Data[[#This Row],[Forex Rate]]&lt;1100,"900–1099",IF(Sales_Data[[#This Row],[Forex Rate]]&lt;1300,"1100–1299","1300+")))</f>
        <v>1300+</v>
      </c>
      <c r="K64">
        <v>766432</v>
      </c>
      <c r="L64">
        <v>12747406</v>
      </c>
      <c r="M64">
        <v>-1739326</v>
      </c>
      <c r="N64" t="str">
        <f>IF(Sales_Data[[#This Row],[Profit]]&lt;0,"Loss","Profit")</f>
        <v>Loss</v>
      </c>
      <c r="O64" s="2">
        <v>-0.13644548545798299</v>
      </c>
    </row>
    <row r="65" spans="1:15" x14ac:dyDescent="0.25">
      <c r="A65" s="1">
        <v>45764</v>
      </c>
      <c r="B65" t="s">
        <v>16</v>
      </c>
      <c r="C65" t="s">
        <v>3</v>
      </c>
      <c r="D65" t="s">
        <v>36</v>
      </c>
      <c r="E65" t="s">
        <v>8</v>
      </c>
      <c r="F65">
        <v>31746</v>
      </c>
      <c r="G65">
        <v>531</v>
      </c>
      <c r="H65">
        <v>556</v>
      </c>
      <c r="I65">
        <v>1422</v>
      </c>
      <c r="J65" t="str">
        <f>IF(Sales_Data[[#This Row],[Forex Rate]]&lt;900,"Below 900",IF(Sales_Data[[#This Row],[Forex Rate]]&lt;1100,"900–1099",IF(Sales_Data[[#This Row],[Forex Rate]]&lt;1300,"1100–1299","1300+")))</f>
        <v>1300+</v>
      </c>
      <c r="K65">
        <v>876149</v>
      </c>
      <c r="L65">
        <v>17650776</v>
      </c>
      <c r="M65">
        <v>-82499</v>
      </c>
      <c r="N65" t="str">
        <f>IF(Sales_Data[[#This Row],[Profit]]&lt;0,"Loss","Profit")</f>
        <v>Loss</v>
      </c>
      <c r="O65" s="2">
        <v>-4.6739588106494596E-3</v>
      </c>
    </row>
    <row r="66" spans="1:15" x14ac:dyDescent="0.25">
      <c r="A66" s="1">
        <v>45706</v>
      </c>
      <c r="B66" t="s">
        <v>15</v>
      </c>
      <c r="C66" t="s">
        <v>9</v>
      </c>
      <c r="D66" t="s">
        <v>35</v>
      </c>
      <c r="E66" t="s">
        <v>7</v>
      </c>
      <c r="F66">
        <v>29491</v>
      </c>
      <c r="G66">
        <v>484</v>
      </c>
      <c r="H66">
        <v>499</v>
      </c>
      <c r="I66">
        <v>1391</v>
      </c>
      <c r="J66" t="str">
        <f>IF(Sales_Data[[#This Row],[Forex Rate]]&lt;900,"Below 900",IF(Sales_Data[[#This Row],[Forex Rate]]&lt;1100,"900–1099",IF(Sales_Data[[#This Row],[Forex Rate]]&lt;1300,"1100–1299","1300+")))</f>
        <v>1300+</v>
      </c>
      <c r="K66">
        <v>417220</v>
      </c>
      <c r="L66">
        <v>14716009</v>
      </c>
      <c r="M66">
        <v>25145</v>
      </c>
      <c r="N66" t="str">
        <f>IF(Sales_Data[[#This Row],[Profit]]&lt;0,"Loss","Profit")</f>
        <v>Profit</v>
      </c>
      <c r="O66" s="2">
        <v>1.7086833801202501E-3</v>
      </c>
    </row>
    <row r="67" spans="1:15" x14ac:dyDescent="0.25">
      <c r="A67" s="1">
        <v>45810</v>
      </c>
      <c r="B67" t="s">
        <v>19</v>
      </c>
      <c r="C67" t="s">
        <v>9</v>
      </c>
      <c r="D67" t="s">
        <v>35</v>
      </c>
      <c r="E67" t="s">
        <v>11</v>
      </c>
      <c r="F67">
        <v>23171</v>
      </c>
      <c r="G67">
        <v>582</v>
      </c>
      <c r="H67">
        <v>665</v>
      </c>
      <c r="I67">
        <v>1389</v>
      </c>
      <c r="J67" t="str">
        <f>IF(Sales_Data[[#This Row],[Forex Rate]]&lt;900,"Below 900",IF(Sales_Data[[#This Row],[Forex Rate]]&lt;1100,"900–1099",IF(Sales_Data[[#This Row],[Forex Rate]]&lt;1300,"1100–1299","1300+")))</f>
        <v>1300+</v>
      </c>
      <c r="K67">
        <v>539498</v>
      </c>
      <c r="L67">
        <v>15408715</v>
      </c>
      <c r="M67">
        <v>1383695</v>
      </c>
      <c r="N67" t="str">
        <f>IF(Sales_Data[[#This Row],[Profit]]&lt;0,"Loss","Profit")</f>
        <v>Profit</v>
      </c>
      <c r="O67" s="2">
        <v>8.9799506318339994E-2</v>
      </c>
    </row>
    <row r="68" spans="1:15" x14ac:dyDescent="0.25">
      <c r="A68" s="1">
        <v>45765</v>
      </c>
      <c r="B68" t="s">
        <v>16</v>
      </c>
      <c r="C68" t="s">
        <v>6</v>
      </c>
      <c r="D68" t="s">
        <v>34</v>
      </c>
      <c r="E68" t="s">
        <v>4</v>
      </c>
      <c r="F68">
        <v>36211</v>
      </c>
      <c r="G68">
        <v>653</v>
      </c>
      <c r="H68">
        <v>713</v>
      </c>
      <c r="I68">
        <v>1422</v>
      </c>
      <c r="J68" t="str">
        <f>IF(Sales_Data[[#This Row],[Forex Rate]]&lt;900,"Below 900",IF(Sales_Data[[#This Row],[Forex Rate]]&lt;1100,"900–1099",IF(Sales_Data[[#This Row],[Forex Rate]]&lt;1300,"1100–1299","1300+")))</f>
        <v>1300+</v>
      </c>
      <c r="K68">
        <v>516282</v>
      </c>
      <c r="L68">
        <v>25818443</v>
      </c>
      <c r="M68">
        <v>1656378</v>
      </c>
      <c r="N68" t="str">
        <f>IF(Sales_Data[[#This Row],[Profit]]&lt;0,"Loss","Profit")</f>
        <v>Profit</v>
      </c>
      <c r="O68" s="2">
        <v>6.4154836912512503E-2</v>
      </c>
    </row>
    <row r="69" spans="1:15" x14ac:dyDescent="0.25">
      <c r="A69" s="1">
        <v>45780</v>
      </c>
      <c r="B69" t="s">
        <v>17</v>
      </c>
      <c r="C69" t="s">
        <v>3</v>
      </c>
      <c r="D69" t="s">
        <v>34</v>
      </c>
      <c r="E69" t="s">
        <v>4</v>
      </c>
      <c r="F69">
        <v>12075</v>
      </c>
      <c r="G69">
        <v>634</v>
      </c>
      <c r="H69">
        <v>679</v>
      </c>
      <c r="I69">
        <v>1401</v>
      </c>
      <c r="J69" t="str">
        <f>IF(Sales_Data[[#This Row],[Forex Rate]]&lt;900,"Below 900",IF(Sales_Data[[#This Row],[Forex Rate]]&lt;1100,"900–1099",IF(Sales_Data[[#This Row],[Forex Rate]]&lt;1300,"1100–1299","1300+")))</f>
        <v>1300+</v>
      </c>
      <c r="K69">
        <v>540981</v>
      </c>
      <c r="L69">
        <v>8198925</v>
      </c>
      <c r="M69">
        <v>2394</v>
      </c>
      <c r="N69" t="str">
        <f>IF(Sales_Data[[#This Row],[Profit]]&lt;0,"Loss","Profit")</f>
        <v>Profit</v>
      </c>
      <c r="O69" s="2">
        <v>2.9198949862329498E-4</v>
      </c>
    </row>
    <row r="70" spans="1:15" x14ac:dyDescent="0.25">
      <c r="A70" s="1">
        <v>45774</v>
      </c>
      <c r="B70" t="s">
        <v>16</v>
      </c>
      <c r="C70" t="s">
        <v>3</v>
      </c>
      <c r="D70" t="s">
        <v>36</v>
      </c>
      <c r="E70" t="s">
        <v>10</v>
      </c>
      <c r="F70">
        <v>22251</v>
      </c>
      <c r="G70">
        <v>567</v>
      </c>
      <c r="H70">
        <v>839</v>
      </c>
      <c r="I70">
        <v>1291</v>
      </c>
      <c r="J70" t="str">
        <f>IF(Sales_Data[[#This Row],[Forex Rate]]&lt;900,"Below 900",IF(Sales_Data[[#This Row],[Forex Rate]]&lt;1100,"900–1099",IF(Sales_Data[[#This Row],[Forex Rate]]&lt;1300,"1100–1299","1300+")))</f>
        <v>1100–1299</v>
      </c>
      <c r="K70">
        <v>675528</v>
      </c>
      <c r="L70">
        <v>18668589</v>
      </c>
      <c r="M70">
        <v>5376744</v>
      </c>
      <c r="N70" t="str">
        <f>IF(Sales_Data[[#This Row],[Profit]]&lt;0,"Loss","Profit")</f>
        <v>Profit</v>
      </c>
      <c r="O70" s="2">
        <v>0.28801019723558102</v>
      </c>
    </row>
    <row r="71" spans="1:15" x14ac:dyDescent="0.25">
      <c r="A71" s="1">
        <v>45738</v>
      </c>
      <c r="B71" t="s">
        <v>14</v>
      </c>
      <c r="C71" t="s">
        <v>6</v>
      </c>
      <c r="D71" t="s">
        <v>36</v>
      </c>
      <c r="E71" t="s">
        <v>8</v>
      </c>
      <c r="F71">
        <v>21704</v>
      </c>
      <c r="G71">
        <v>626</v>
      </c>
      <c r="H71">
        <v>643</v>
      </c>
      <c r="I71">
        <v>1498</v>
      </c>
      <c r="J71" t="str">
        <f>IF(Sales_Data[[#This Row],[Forex Rate]]&lt;900,"Below 900",IF(Sales_Data[[#This Row],[Forex Rate]]&lt;1100,"900–1099",IF(Sales_Data[[#This Row],[Forex Rate]]&lt;1300,"1100–1299","1300+")))</f>
        <v>1300+</v>
      </c>
      <c r="K71">
        <v>675852</v>
      </c>
      <c r="L71">
        <v>13955672</v>
      </c>
      <c r="M71">
        <v>-306884</v>
      </c>
      <c r="N71" t="str">
        <f>IF(Sales_Data[[#This Row],[Profit]]&lt;0,"Loss","Profit")</f>
        <v>Loss</v>
      </c>
      <c r="O71" s="2">
        <v>-2.1989912058695601E-2</v>
      </c>
    </row>
    <row r="72" spans="1:15" x14ac:dyDescent="0.25">
      <c r="A72" s="1">
        <v>45829</v>
      </c>
      <c r="B72" t="s">
        <v>19</v>
      </c>
      <c r="C72" t="s">
        <v>9</v>
      </c>
      <c r="D72" t="s">
        <v>36</v>
      </c>
      <c r="E72" t="s">
        <v>10</v>
      </c>
      <c r="F72">
        <v>23786</v>
      </c>
      <c r="G72">
        <v>579</v>
      </c>
      <c r="H72">
        <v>473</v>
      </c>
      <c r="I72">
        <v>1389</v>
      </c>
      <c r="J72" t="str">
        <f>IF(Sales_Data[[#This Row],[Forex Rate]]&lt;900,"Below 900",IF(Sales_Data[[#This Row],[Forex Rate]]&lt;1100,"900–1099",IF(Sales_Data[[#This Row],[Forex Rate]]&lt;1300,"1100–1299","1300+")))</f>
        <v>1300+</v>
      </c>
      <c r="K72">
        <v>732060</v>
      </c>
      <c r="L72">
        <v>11250778</v>
      </c>
      <c r="M72">
        <v>-3253376</v>
      </c>
      <c r="N72" t="str">
        <f>IF(Sales_Data[[#This Row],[Profit]]&lt;0,"Loss","Profit")</f>
        <v>Loss</v>
      </c>
      <c r="O72" s="2">
        <v>-0.28916898013630699</v>
      </c>
    </row>
    <row r="73" spans="1:15" x14ac:dyDescent="0.25">
      <c r="A73" s="1">
        <v>45685</v>
      </c>
      <c r="B73" t="s">
        <v>18</v>
      </c>
      <c r="C73" t="s">
        <v>3</v>
      </c>
      <c r="D73" t="s">
        <v>35</v>
      </c>
      <c r="E73" t="s">
        <v>11</v>
      </c>
      <c r="F73">
        <v>41455</v>
      </c>
      <c r="G73">
        <v>592</v>
      </c>
      <c r="H73">
        <v>695</v>
      </c>
      <c r="I73">
        <v>1400</v>
      </c>
      <c r="J73" t="str">
        <f>IF(Sales_Data[[#This Row],[Forex Rate]]&lt;900,"Below 900",IF(Sales_Data[[#This Row],[Forex Rate]]&lt;1100,"900–1099",IF(Sales_Data[[#This Row],[Forex Rate]]&lt;1300,"1100–1299","1300+")))</f>
        <v>1300+</v>
      </c>
      <c r="K73">
        <v>480439</v>
      </c>
      <c r="L73">
        <v>28811225</v>
      </c>
      <c r="M73">
        <v>3789426</v>
      </c>
      <c r="N73" t="str">
        <f>IF(Sales_Data[[#This Row],[Profit]]&lt;0,"Loss","Profit")</f>
        <v>Profit</v>
      </c>
      <c r="O73" s="2">
        <v>0.13152602848368999</v>
      </c>
    </row>
    <row r="74" spans="1:15" x14ac:dyDescent="0.25">
      <c r="A74" s="1">
        <v>45744</v>
      </c>
      <c r="B74" t="s">
        <v>14</v>
      </c>
      <c r="C74" t="s">
        <v>6</v>
      </c>
      <c r="D74" t="s">
        <v>36</v>
      </c>
      <c r="E74" t="s">
        <v>10</v>
      </c>
      <c r="F74">
        <v>5400</v>
      </c>
      <c r="G74">
        <v>590</v>
      </c>
      <c r="H74">
        <v>681</v>
      </c>
      <c r="I74">
        <v>1286</v>
      </c>
      <c r="J74" t="str">
        <f>IF(Sales_Data[[#This Row],[Forex Rate]]&lt;900,"Below 900",IF(Sales_Data[[#This Row],[Forex Rate]]&lt;1100,"900–1099",IF(Sales_Data[[#This Row],[Forex Rate]]&lt;1300,"1100–1299","1300+")))</f>
        <v>1100–1299</v>
      </c>
      <c r="K74">
        <v>675682</v>
      </c>
      <c r="L74">
        <v>3677400</v>
      </c>
      <c r="M74">
        <v>-184282</v>
      </c>
      <c r="N74" t="str">
        <f>IF(Sales_Data[[#This Row],[Profit]]&lt;0,"Loss","Profit")</f>
        <v>Loss</v>
      </c>
      <c r="O74" s="2">
        <v>-5.0112035677380803E-2</v>
      </c>
    </row>
    <row r="75" spans="1:15" x14ac:dyDescent="0.25">
      <c r="A75" s="1">
        <v>45803</v>
      </c>
      <c r="B75" t="s">
        <v>17</v>
      </c>
      <c r="C75" t="s">
        <v>6</v>
      </c>
      <c r="D75" t="s">
        <v>35</v>
      </c>
      <c r="E75" t="s">
        <v>7</v>
      </c>
      <c r="F75">
        <v>8447</v>
      </c>
      <c r="G75">
        <v>646</v>
      </c>
      <c r="H75">
        <v>748</v>
      </c>
      <c r="I75">
        <v>1443</v>
      </c>
      <c r="J75" t="str">
        <f>IF(Sales_Data[[#This Row],[Forex Rate]]&lt;900,"Below 900",IF(Sales_Data[[#This Row],[Forex Rate]]&lt;1100,"900–1099",IF(Sales_Data[[#This Row],[Forex Rate]]&lt;1300,"1100–1299","1300+")))</f>
        <v>1300+</v>
      </c>
      <c r="K75">
        <v>991615</v>
      </c>
      <c r="L75">
        <v>6318356</v>
      </c>
      <c r="M75">
        <v>-130021</v>
      </c>
      <c r="N75" t="str">
        <f>IF(Sales_Data[[#This Row],[Profit]]&lt;0,"Loss","Profit")</f>
        <v>Loss</v>
      </c>
      <c r="O75" s="2">
        <v>-2.0578295999782201E-2</v>
      </c>
    </row>
    <row r="76" spans="1:15" x14ac:dyDescent="0.25">
      <c r="A76" s="1">
        <v>45730</v>
      </c>
      <c r="B76" t="s">
        <v>14</v>
      </c>
      <c r="C76" t="s">
        <v>6</v>
      </c>
      <c r="D76" t="s">
        <v>35</v>
      </c>
      <c r="E76" t="s">
        <v>11</v>
      </c>
      <c r="F76">
        <v>39533</v>
      </c>
      <c r="G76">
        <v>486</v>
      </c>
      <c r="H76">
        <v>497</v>
      </c>
      <c r="I76">
        <v>1506</v>
      </c>
      <c r="J76" t="str">
        <f>IF(Sales_Data[[#This Row],[Forex Rate]]&lt;900,"Below 900",IF(Sales_Data[[#This Row],[Forex Rate]]&lt;1100,"900–1099",IF(Sales_Data[[#This Row],[Forex Rate]]&lt;1300,"1100–1299","1300+")))</f>
        <v>1300+</v>
      </c>
      <c r="K76">
        <v>544061</v>
      </c>
      <c r="L76">
        <v>19647901</v>
      </c>
      <c r="M76">
        <v>-109198</v>
      </c>
      <c r="N76" t="str">
        <f>IF(Sales_Data[[#This Row],[Profit]]&lt;0,"Loss","Profit")</f>
        <v>Loss</v>
      </c>
      <c r="O76" s="2">
        <v>-5.5577438017424896E-3</v>
      </c>
    </row>
    <row r="77" spans="1:15" x14ac:dyDescent="0.25">
      <c r="A77" s="1">
        <v>45702</v>
      </c>
      <c r="B77" t="s">
        <v>15</v>
      </c>
      <c r="C77" t="s">
        <v>6</v>
      </c>
      <c r="D77" t="s">
        <v>36</v>
      </c>
      <c r="E77" t="s">
        <v>10</v>
      </c>
      <c r="F77">
        <v>27381</v>
      </c>
      <c r="G77">
        <v>602</v>
      </c>
      <c r="H77">
        <v>707</v>
      </c>
      <c r="I77">
        <v>1497</v>
      </c>
      <c r="J77" t="str">
        <f>IF(Sales_Data[[#This Row],[Forex Rate]]&lt;900,"Below 900",IF(Sales_Data[[#This Row],[Forex Rate]]&lt;1100,"900–1099",IF(Sales_Data[[#This Row],[Forex Rate]]&lt;1300,"1100–1299","1300+")))</f>
        <v>1300+</v>
      </c>
      <c r="K77">
        <v>219651</v>
      </c>
      <c r="L77">
        <v>19358367</v>
      </c>
      <c r="M77">
        <v>2655354</v>
      </c>
      <c r="N77" t="str">
        <f>IF(Sales_Data[[#This Row],[Profit]]&lt;0,"Loss","Profit")</f>
        <v>Profit</v>
      </c>
      <c r="O77" s="2">
        <v>0.13716828490750299</v>
      </c>
    </row>
    <row r="78" spans="1:15" x14ac:dyDescent="0.25">
      <c r="A78" s="1">
        <v>45804</v>
      </c>
      <c r="B78" t="s">
        <v>17</v>
      </c>
      <c r="C78" t="s">
        <v>6</v>
      </c>
      <c r="D78" t="s">
        <v>36</v>
      </c>
      <c r="E78" t="s">
        <v>10</v>
      </c>
      <c r="F78">
        <v>32373</v>
      </c>
      <c r="G78">
        <v>542</v>
      </c>
      <c r="H78">
        <v>728</v>
      </c>
      <c r="I78">
        <v>1235</v>
      </c>
      <c r="J78" t="str">
        <f>IF(Sales_Data[[#This Row],[Forex Rate]]&lt;900,"Below 900",IF(Sales_Data[[#This Row],[Forex Rate]]&lt;1100,"900–1099",IF(Sales_Data[[#This Row],[Forex Rate]]&lt;1300,"1100–1299","1300+")))</f>
        <v>1100–1299</v>
      </c>
      <c r="K78">
        <v>817476</v>
      </c>
      <c r="L78">
        <v>23567544</v>
      </c>
      <c r="M78">
        <v>5203902</v>
      </c>
      <c r="N78" t="str">
        <f>IF(Sales_Data[[#This Row],[Profit]]&lt;0,"Loss","Profit")</f>
        <v>Profit</v>
      </c>
      <c r="O78" s="2">
        <v>0.22080798915661301</v>
      </c>
    </row>
    <row r="79" spans="1:15" x14ac:dyDescent="0.25">
      <c r="A79" s="1">
        <v>45737</v>
      </c>
      <c r="B79" t="s">
        <v>14</v>
      </c>
      <c r="C79" t="s">
        <v>3</v>
      </c>
      <c r="D79" t="s">
        <v>34</v>
      </c>
      <c r="E79" t="s">
        <v>5</v>
      </c>
      <c r="F79">
        <v>19520</v>
      </c>
      <c r="G79">
        <v>601</v>
      </c>
      <c r="H79">
        <v>679</v>
      </c>
      <c r="I79">
        <v>1405</v>
      </c>
      <c r="J79" t="str">
        <f>IF(Sales_Data[[#This Row],[Forex Rate]]&lt;900,"Below 900",IF(Sales_Data[[#This Row],[Forex Rate]]&lt;1100,"900–1099",IF(Sales_Data[[#This Row],[Forex Rate]]&lt;1300,"1100–1299","1300+")))</f>
        <v>1300+</v>
      </c>
      <c r="K79">
        <v>1054628</v>
      </c>
      <c r="L79">
        <v>13254080</v>
      </c>
      <c r="M79">
        <v>467932</v>
      </c>
      <c r="N79" t="str">
        <f>IF(Sales_Data[[#This Row],[Profit]]&lt;0,"Loss","Profit")</f>
        <v>Profit</v>
      </c>
      <c r="O79" s="2">
        <v>3.5304751442574701E-2</v>
      </c>
    </row>
    <row r="80" spans="1:15" x14ac:dyDescent="0.25">
      <c r="A80" s="1">
        <v>45708</v>
      </c>
      <c r="B80" t="s">
        <v>15</v>
      </c>
      <c r="C80" t="s">
        <v>9</v>
      </c>
      <c r="D80" t="s">
        <v>34</v>
      </c>
      <c r="E80" t="s">
        <v>5</v>
      </c>
      <c r="F80">
        <v>22232</v>
      </c>
      <c r="G80">
        <v>532</v>
      </c>
      <c r="H80">
        <v>672</v>
      </c>
      <c r="I80">
        <v>1391</v>
      </c>
      <c r="J80" t="str">
        <f>IF(Sales_Data[[#This Row],[Forex Rate]]&lt;900,"Below 900",IF(Sales_Data[[#This Row],[Forex Rate]]&lt;1100,"900–1099",IF(Sales_Data[[#This Row],[Forex Rate]]&lt;1300,"1100–1299","1300+")))</f>
        <v>1300+</v>
      </c>
      <c r="K80">
        <v>854858</v>
      </c>
      <c r="L80">
        <v>14939904</v>
      </c>
      <c r="M80">
        <v>2257622</v>
      </c>
      <c r="N80" t="str">
        <f>IF(Sales_Data[[#This Row],[Profit]]&lt;0,"Loss","Profit")</f>
        <v>Profit</v>
      </c>
      <c r="O80" s="2">
        <v>0.151113554678798</v>
      </c>
    </row>
    <row r="81" spans="1:15" x14ac:dyDescent="0.25">
      <c r="A81" s="1">
        <v>45770</v>
      </c>
      <c r="B81" t="s">
        <v>16</v>
      </c>
      <c r="C81" t="s">
        <v>3</v>
      </c>
      <c r="D81" t="s">
        <v>35</v>
      </c>
      <c r="E81" t="s">
        <v>11</v>
      </c>
      <c r="F81">
        <v>24418</v>
      </c>
      <c r="G81">
        <v>511</v>
      </c>
      <c r="H81">
        <v>483</v>
      </c>
      <c r="I81">
        <v>1223</v>
      </c>
      <c r="J81" t="str">
        <f>IF(Sales_Data[[#This Row],[Forex Rate]]&lt;900,"Below 900",IF(Sales_Data[[#This Row],[Forex Rate]]&lt;1100,"900–1099",IF(Sales_Data[[#This Row],[Forex Rate]]&lt;1300,"1100–1299","1300+")))</f>
        <v>1100–1299</v>
      </c>
      <c r="K81">
        <v>280458</v>
      </c>
      <c r="L81">
        <v>11793894</v>
      </c>
      <c r="M81">
        <v>-964162</v>
      </c>
      <c r="N81" t="str">
        <f>IF(Sales_Data[[#This Row],[Profit]]&lt;0,"Loss","Profit")</f>
        <v>Loss</v>
      </c>
      <c r="O81" s="2">
        <v>-8.1750946718700396E-2</v>
      </c>
    </row>
    <row r="82" spans="1:15" x14ac:dyDescent="0.25">
      <c r="A82" s="1">
        <v>45776</v>
      </c>
      <c r="B82" t="s">
        <v>16</v>
      </c>
      <c r="C82" t="s">
        <v>3</v>
      </c>
      <c r="D82" t="s">
        <v>36</v>
      </c>
      <c r="E82" t="s">
        <v>10</v>
      </c>
      <c r="F82">
        <v>22251</v>
      </c>
      <c r="G82">
        <v>567</v>
      </c>
      <c r="H82">
        <v>636</v>
      </c>
      <c r="I82">
        <v>1524</v>
      </c>
      <c r="J82" t="str">
        <f>IF(Sales_Data[[#This Row],[Forex Rate]]&lt;900,"Below 900",IF(Sales_Data[[#This Row],[Forex Rate]]&lt;1100,"900–1099",IF(Sales_Data[[#This Row],[Forex Rate]]&lt;1300,"1100–1299","1300+")))</f>
        <v>1300+</v>
      </c>
      <c r="K82">
        <v>743995</v>
      </c>
      <c r="L82">
        <v>14151636</v>
      </c>
      <c r="M82">
        <v>791324</v>
      </c>
      <c r="N82" t="str">
        <f>IF(Sales_Data[[#This Row],[Profit]]&lt;0,"Loss","Profit")</f>
        <v>Profit</v>
      </c>
      <c r="O82" s="2">
        <v>5.5917492507579998E-2</v>
      </c>
    </row>
    <row r="83" spans="1:15" x14ac:dyDescent="0.25">
      <c r="A83" s="1">
        <v>45721</v>
      </c>
      <c r="B83" t="s">
        <v>14</v>
      </c>
      <c r="C83" t="s">
        <v>3</v>
      </c>
      <c r="D83" t="s">
        <v>34</v>
      </c>
      <c r="E83" t="s">
        <v>4</v>
      </c>
      <c r="F83">
        <v>24580</v>
      </c>
      <c r="G83">
        <v>529</v>
      </c>
      <c r="H83">
        <v>582</v>
      </c>
      <c r="I83">
        <v>1516</v>
      </c>
      <c r="J83" t="str">
        <f>IF(Sales_Data[[#This Row],[Forex Rate]]&lt;900,"Below 900",IF(Sales_Data[[#This Row],[Forex Rate]]&lt;1100,"900–1099",IF(Sales_Data[[#This Row],[Forex Rate]]&lt;1300,"1100–1299","1300+")))</f>
        <v>1300+</v>
      </c>
      <c r="K83">
        <v>697375</v>
      </c>
      <c r="L83">
        <v>14305560</v>
      </c>
      <c r="M83">
        <v>605365</v>
      </c>
      <c r="N83" t="str">
        <f>IF(Sales_Data[[#This Row],[Profit]]&lt;0,"Loss","Profit")</f>
        <v>Profit</v>
      </c>
      <c r="O83" s="2">
        <v>4.2316763552073498E-2</v>
      </c>
    </row>
    <row r="84" spans="1:15" x14ac:dyDescent="0.25">
      <c r="A84" s="1">
        <v>45722</v>
      </c>
      <c r="B84" t="s">
        <v>14</v>
      </c>
      <c r="C84" t="s">
        <v>3</v>
      </c>
      <c r="D84" t="s">
        <v>35</v>
      </c>
      <c r="E84" t="s">
        <v>7</v>
      </c>
      <c r="F84">
        <v>24906</v>
      </c>
      <c r="G84">
        <v>695</v>
      </c>
      <c r="H84">
        <v>764</v>
      </c>
      <c r="I84">
        <v>1252</v>
      </c>
      <c r="J84" t="str">
        <f>IF(Sales_Data[[#This Row],[Forex Rate]]&lt;900,"Below 900",IF(Sales_Data[[#This Row],[Forex Rate]]&lt;1100,"900–1099",IF(Sales_Data[[#This Row],[Forex Rate]]&lt;1300,"1100–1299","1300+")))</f>
        <v>1100–1299</v>
      </c>
      <c r="K84">
        <v>786072</v>
      </c>
      <c r="L84">
        <v>19028184</v>
      </c>
      <c r="M84">
        <v>932442</v>
      </c>
      <c r="N84" t="str">
        <f>IF(Sales_Data[[#This Row],[Profit]]&lt;0,"Loss","Profit")</f>
        <v>Profit</v>
      </c>
      <c r="O84" s="2">
        <v>4.9003204930118401E-2</v>
      </c>
    </row>
    <row r="85" spans="1:15" x14ac:dyDescent="0.25">
      <c r="A85" s="1">
        <v>45829</v>
      </c>
      <c r="B85" t="s">
        <v>19</v>
      </c>
      <c r="C85" t="s">
        <v>3</v>
      </c>
      <c r="D85" t="s">
        <v>35</v>
      </c>
      <c r="E85" t="s">
        <v>11</v>
      </c>
      <c r="F85">
        <v>38324</v>
      </c>
      <c r="G85">
        <v>425</v>
      </c>
      <c r="H85">
        <v>473</v>
      </c>
      <c r="I85">
        <v>1291</v>
      </c>
      <c r="J85" t="str">
        <f>IF(Sales_Data[[#This Row],[Forex Rate]]&lt;900,"Below 900",IF(Sales_Data[[#This Row],[Forex Rate]]&lt;1100,"900–1099",IF(Sales_Data[[#This Row],[Forex Rate]]&lt;1300,"1100–1299","1300+")))</f>
        <v>1100–1299</v>
      </c>
      <c r="K85">
        <v>510160</v>
      </c>
      <c r="L85">
        <v>18127252</v>
      </c>
      <c r="M85">
        <v>1329392</v>
      </c>
      <c r="N85" t="str">
        <f>IF(Sales_Data[[#This Row],[Profit]]&lt;0,"Loss","Profit")</f>
        <v>Profit</v>
      </c>
      <c r="O85" s="2">
        <v>7.3336653564478493E-2</v>
      </c>
    </row>
    <row r="86" spans="1:15" x14ac:dyDescent="0.25">
      <c r="A86" s="1">
        <v>45827</v>
      </c>
      <c r="B86" t="s">
        <v>19</v>
      </c>
      <c r="C86" t="s">
        <v>3</v>
      </c>
      <c r="D86" t="s">
        <v>36</v>
      </c>
      <c r="E86" t="s">
        <v>8</v>
      </c>
      <c r="F86">
        <v>44141</v>
      </c>
      <c r="G86">
        <v>563</v>
      </c>
      <c r="H86">
        <v>664</v>
      </c>
      <c r="I86">
        <v>1218</v>
      </c>
      <c r="J86" t="str">
        <f>IF(Sales_Data[[#This Row],[Forex Rate]]&lt;900,"Below 900",IF(Sales_Data[[#This Row],[Forex Rate]]&lt;1100,"900–1099",IF(Sales_Data[[#This Row],[Forex Rate]]&lt;1300,"1100–1299","1300+")))</f>
        <v>1100–1299</v>
      </c>
      <c r="K86">
        <v>909217</v>
      </c>
      <c r="L86">
        <v>29309624</v>
      </c>
      <c r="M86">
        <v>3549024</v>
      </c>
      <c r="N86" t="str">
        <f>IF(Sales_Data[[#This Row],[Profit]]&lt;0,"Loss","Profit")</f>
        <v>Profit</v>
      </c>
      <c r="O86" s="2">
        <v>0.12108732612878299</v>
      </c>
    </row>
    <row r="87" spans="1:15" x14ac:dyDescent="0.25">
      <c r="A87" s="1">
        <v>45772</v>
      </c>
      <c r="B87" t="s">
        <v>16</v>
      </c>
      <c r="C87" t="s">
        <v>6</v>
      </c>
      <c r="D87" t="s">
        <v>36</v>
      </c>
      <c r="E87" t="s">
        <v>10</v>
      </c>
      <c r="F87">
        <v>20674</v>
      </c>
      <c r="G87">
        <v>710</v>
      </c>
      <c r="H87">
        <v>876</v>
      </c>
      <c r="I87">
        <v>1313</v>
      </c>
      <c r="J87" t="str">
        <f>IF(Sales_Data[[#This Row],[Forex Rate]]&lt;900,"Below 900",IF(Sales_Data[[#This Row],[Forex Rate]]&lt;1100,"900–1099",IF(Sales_Data[[#This Row],[Forex Rate]]&lt;1300,"1100–1299","1300+")))</f>
        <v>1300+</v>
      </c>
      <c r="K87">
        <v>753081</v>
      </c>
      <c r="L87">
        <v>18110424</v>
      </c>
      <c r="M87">
        <v>2678803</v>
      </c>
      <c r="N87" t="str">
        <f>IF(Sales_Data[[#This Row],[Profit]]&lt;0,"Loss","Profit")</f>
        <v>Profit</v>
      </c>
      <c r="O87" s="2">
        <v>0.14791497979285301</v>
      </c>
    </row>
    <row r="88" spans="1:15" x14ac:dyDescent="0.25">
      <c r="A88" s="1">
        <v>45722</v>
      </c>
      <c r="B88" t="s">
        <v>14</v>
      </c>
      <c r="C88" t="s">
        <v>9</v>
      </c>
      <c r="D88" t="s">
        <v>34</v>
      </c>
      <c r="E88" t="s">
        <v>4</v>
      </c>
      <c r="F88">
        <v>24703</v>
      </c>
      <c r="G88">
        <v>540</v>
      </c>
      <c r="H88">
        <v>833</v>
      </c>
      <c r="I88">
        <v>1264</v>
      </c>
      <c r="J88" t="str">
        <f>IF(Sales_Data[[#This Row],[Forex Rate]]&lt;900,"Below 900",IF(Sales_Data[[#This Row],[Forex Rate]]&lt;1100,"900–1099",IF(Sales_Data[[#This Row],[Forex Rate]]&lt;1300,"1100–1299","1300+")))</f>
        <v>1100–1299</v>
      </c>
      <c r="K88">
        <v>1149282</v>
      </c>
      <c r="L88">
        <v>20577599</v>
      </c>
      <c r="M88">
        <v>6088697</v>
      </c>
      <c r="N88" t="str">
        <f>IF(Sales_Data[[#This Row],[Profit]]&lt;0,"Loss","Profit")</f>
        <v>Profit</v>
      </c>
      <c r="O88" s="2">
        <v>0.29588957390024001</v>
      </c>
    </row>
    <row r="89" spans="1:15" x14ac:dyDescent="0.25">
      <c r="A89" s="1">
        <v>45773</v>
      </c>
      <c r="B89" t="s">
        <v>16</v>
      </c>
      <c r="C89" t="s">
        <v>6</v>
      </c>
      <c r="D89" t="s">
        <v>34</v>
      </c>
      <c r="E89" t="s">
        <v>4</v>
      </c>
      <c r="F89">
        <v>6747</v>
      </c>
      <c r="G89">
        <v>532</v>
      </c>
      <c r="H89">
        <v>652</v>
      </c>
      <c r="I89">
        <v>1422</v>
      </c>
      <c r="J89" t="str">
        <f>IF(Sales_Data[[#This Row],[Forex Rate]]&lt;900,"Below 900",IF(Sales_Data[[#This Row],[Forex Rate]]&lt;1100,"900–1099",IF(Sales_Data[[#This Row],[Forex Rate]]&lt;1300,"1100–1299","1300+")))</f>
        <v>1300+</v>
      </c>
      <c r="K89">
        <v>881533</v>
      </c>
      <c r="L89">
        <v>4399044</v>
      </c>
      <c r="M89">
        <v>-71893</v>
      </c>
      <c r="N89" t="str">
        <f>IF(Sales_Data[[#This Row],[Profit]]&lt;0,"Loss","Profit")</f>
        <v>Loss</v>
      </c>
      <c r="O89" s="2">
        <v>-1.6342869041546301E-2</v>
      </c>
    </row>
    <row r="90" spans="1:15" x14ac:dyDescent="0.25">
      <c r="A90" s="1">
        <v>45778</v>
      </c>
      <c r="B90" t="s">
        <v>17</v>
      </c>
      <c r="C90" t="s">
        <v>9</v>
      </c>
      <c r="D90" t="s">
        <v>34</v>
      </c>
      <c r="E90" t="s">
        <v>5</v>
      </c>
      <c r="F90">
        <v>22232</v>
      </c>
      <c r="G90">
        <v>444</v>
      </c>
      <c r="H90">
        <v>517</v>
      </c>
      <c r="I90">
        <v>1315</v>
      </c>
      <c r="J90" t="str">
        <f>IF(Sales_Data[[#This Row],[Forex Rate]]&lt;900,"Below 900",IF(Sales_Data[[#This Row],[Forex Rate]]&lt;1100,"900–1099",IF(Sales_Data[[#This Row],[Forex Rate]]&lt;1300,"1100–1299","1300+")))</f>
        <v>1300+</v>
      </c>
      <c r="K90">
        <v>327767</v>
      </c>
      <c r="L90">
        <v>11493944</v>
      </c>
      <c r="M90">
        <v>1295169</v>
      </c>
      <c r="N90" t="str">
        <f>IF(Sales_Data[[#This Row],[Profit]]&lt;0,"Loss","Profit")</f>
        <v>Profit</v>
      </c>
      <c r="O90" s="2">
        <v>0.11268273101034799</v>
      </c>
    </row>
    <row r="91" spans="1:15" x14ac:dyDescent="0.25">
      <c r="A91" s="1">
        <v>45674</v>
      </c>
      <c r="B91" t="s">
        <v>18</v>
      </c>
      <c r="C91" t="s">
        <v>6</v>
      </c>
      <c r="D91" t="s">
        <v>36</v>
      </c>
      <c r="E91" t="s">
        <v>10</v>
      </c>
      <c r="F91">
        <v>27381</v>
      </c>
      <c r="G91">
        <v>425</v>
      </c>
      <c r="H91">
        <v>514</v>
      </c>
      <c r="I91">
        <v>1296</v>
      </c>
      <c r="J91" t="str">
        <f>IF(Sales_Data[[#This Row],[Forex Rate]]&lt;900,"Below 900",IF(Sales_Data[[#This Row],[Forex Rate]]&lt;1100,"900–1099",IF(Sales_Data[[#This Row],[Forex Rate]]&lt;1300,"1100–1299","1300+")))</f>
        <v>1100–1299</v>
      </c>
      <c r="K91">
        <v>743995</v>
      </c>
      <c r="L91">
        <v>14073834</v>
      </c>
      <c r="M91">
        <v>1692914</v>
      </c>
      <c r="N91" t="str">
        <f>IF(Sales_Data[[#This Row],[Profit]]&lt;0,"Loss","Profit")</f>
        <v>Profit</v>
      </c>
      <c r="O91" s="2">
        <v>0.120288046597679</v>
      </c>
    </row>
    <row r="92" spans="1:15" x14ac:dyDescent="0.25">
      <c r="A92" s="1">
        <v>45675</v>
      </c>
      <c r="B92" t="s">
        <v>18</v>
      </c>
      <c r="C92" t="s">
        <v>9</v>
      </c>
      <c r="D92" t="s">
        <v>36</v>
      </c>
      <c r="E92" t="s">
        <v>10</v>
      </c>
      <c r="F92">
        <v>30588</v>
      </c>
      <c r="G92">
        <v>714</v>
      </c>
      <c r="H92">
        <v>806</v>
      </c>
      <c r="I92">
        <v>1400</v>
      </c>
      <c r="J92" t="str">
        <f>IF(Sales_Data[[#This Row],[Forex Rate]]&lt;900,"Below 900",IF(Sales_Data[[#This Row],[Forex Rate]]&lt;1100,"900–1099",IF(Sales_Data[[#This Row],[Forex Rate]]&lt;1300,"1100–1299","1300+")))</f>
        <v>1300+</v>
      </c>
      <c r="K92">
        <v>743995</v>
      </c>
      <c r="L92">
        <v>24653928</v>
      </c>
      <c r="M92">
        <v>2070101</v>
      </c>
      <c r="N92" t="str">
        <f>IF(Sales_Data[[#This Row],[Profit]]&lt;0,"Loss","Profit")</f>
        <v>Profit</v>
      </c>
      <c r="O92" s="2">
        <v>8.3966376473558299E-2</v>
      </c>
    </row>
    <row r="93" spans="1:15" x14ac:dyDescent="0.25">
      <c r="A93" s="1">
        <v>45669</v>
      </c>
      <c r="B93" t="s">
        <v>18</v>
      </c>
      <c r="C93" t="s">
        <v>3</v>
      </c>
      <c r="D93" t="s">
        <v>35</v>
      </c>
      <c r="E93" t="s">
        <v>11</v>
      </c>
      <c r="F93">
        <v>24418</v>
      </c>
      <c r="G93">
        <v>654</v>
      </c>
      <c r="H93">
        <v>772</v>
      </c>
      <c r="I93">
        <v>1225</v>
      </c>
      <c r="J93" t="str">
        <f>IF(Sales_Data[[#This Row],[Forex Rate]]&lt;900,"Below 900",IF(Sales_Data[[#This Row],[Forex Rate]]&lt;1100,"900–1099",IF(Sales_Data[[#This Row],[Forex Rate]]&lt;1300,"1100–1299","1300+")))</f>
        <v>1100–1299</v>
      </c>
      <c r="K93">
        <v>238780</v>
      </c>
      <c r="L93">
        <v>18850696</v>
      </c>
      <c r="M93">
        <v>2642544</v>
      </c>
      <c r="N93" t="str">
        <f>IF(Sales_Data[[#This Row],[Profit]]&lt;0,"Loss","Profit")</f>
        <v>Profit</v>
      </c>
      <c r="O93" s="2">
        <v>0.14018283462849301</v>
      </c>
    </row>
    <row r="94" spans="1:15" x14ac:dyDescent="0.25">
      <c r="A94" s="1">
        <v>45738</v>
      </c>
      <c r="B94" t="s">
        <v>14</v>
      </c>
      <c r="C94" t="s">
        <v>9</v>
      </c>
      <c r="D94" t="s">
        <v>34</v>
      </c>
      <c r="E94" t="s">
        <v>4</v>
      </c>
      <c r="F94">
        <v>24703</v>
      </c>
      <c r="G94">
        <v>540</v>
      </c>
      <c r="H94">
        <v>536</v>
      </c>
      <c r="I94">
        <v>1405</v>
      </c>
      <c r="J94" t="str">
        <f>IF(Sales_Data[[#This Row],[Forex Rate]]&lt;900,"Below 900",IF(Sales_Data[[#This Row],[Forex Rate]]&lt;1100,"900–1099",IF(Sales_Data[[#This Row],[Forex Rate]]&lt;1300,"1100–1299","1300+")))</f>
        <v>1300+</v>
      </c>
      <c r="K94">
        <v>548048</v>
      </c>
      <c r="L94">
        <v>13240808</v>
      </c>
      <c r="M94">
        <v>-646860</v>
      </c>
      <c r="N94" t="str">
        <f>IF(Sales_Data[[#This Row],[Profit]]&lt;0,"Loss","Profit")</f>
        <v>Loss</v>
      </c>
      <c r="O94" s="2">
        <v>-4.8853514075575998E-2</v>
      </c>
    </row>
    <row r="95" spans="1:15" x14ac:dyDescent="0.25">
      <c r="A95" s="1">
        <v>45770</v>
      </c>
      <c r="B95" t="s">
        <v>16</v>
      </c>
      <c r="C95" t="s">
        <v>6</v>
      </c>
      <c r="D95" t="s">
        <v>35</v>
      </c>
      <c r="E95" t="s">
        <v>7</v>
      </c>
      <c r="F95">
        <v>17243</v>
      </c>
      <c r="G95">
        <v>582</v>
      </c>
      <c r="H95">
        <v>678</v>
      </c>
      <c r="I95">
        <v>1422</v>
      </c>
      <c r="J95" t="str">
        <f>IF(Sales_Data[[#This Row],[Forex Rate]]&lt;900,"Below 900",IF(Sales_Data[[#This Row],[Forex Rate]]&lt;1100,"900–1099",IF(Sales_Data[[#This Row],[Forex Rate]]&lt;1300,"1100–1299","1300+")))</f>
        <v>1300+</v>
      </c>
      <c r="K95">
        <v>649484</v>
      </c>
      <c r="L95">
        <v>11690754</v>
      </c>
      <c r="M95">
        <v>1005844</v>
      </c>
      <c r="N95" t="str">
        <f>IF(Sales_Data[[#This Row],[Profit]]&lt;0,"Loss","Profit")</f>
        <v>Profit</v>
      </c>
      <c r="O95" s="2">
        <v>8.6037564386351795E-2</v>
      </c>
    </row>
    <row r="96" spans="1:15" x14ac:dyDescent="0.25">
      <c r="A96" s="1">
        <v>45678</v>
      </c>
      <c r="B96" t="s">
        <v>18</v>
      </c>
      <c r="C96" t="s">
        <v>6</v>
      </c>
      <c r="D96" t="s">
        <v>35</v>
      </c>
      <c r="E96" t="s">
        <v>11</v>
      </c>
      <c r="F96">
        <v>25086</v>
      </c>
      <c r="G96">
        <v>576</v>
      </c>
      <c r="H96">
        <v>650</v>
      </c>
      <c r="I96">
        <v>1548</v>
      </c>
      <c r="J96" t="str">
        <f>IF(Sales_Data[[#This Row],[Forex Rate]]&lt;900,"Below 900",IF(Sales_Data[[#This Row],[Forex Rate]]&lt;1100,"900–1099",IF(Sales_Data[[#This Row],[Forex Rate]]&lt;1300,"1100–1299","1300+")))</f>
        <v>1300+</v>
      </c>
      <c r="K96">
        <v>656068</v>
      </c>
      <c r="L96">
        <v>16305900</v>
      </c>
      <c r="M96">
        <v>1200296</v>
      </c>
      <c r="N96" t="str">
        <f>IF(Sales_Data[[#This Row],[Profit]]&lt;0,"Loss","Profit")</f>
        <v>Profit</v>
      </c>
      <c r="O96" s="2">
        <v>7.3611146885483203E-2</v>
      </c>
    </row>
    <row r="97" spans="1:15" x14ac:dyDescent="0.25">
      <c r="A97" s="1">
        <v>45829</v>
      </c>
      <c r="B97" t="s">
        <v>19</v>
      </c>
      <c r="C97" t="s">
        <v>3</v>
      </c>
      <c r="D97" t="s">
        <v>34</v>
      </c>
      <c r="E97" t="s">
        <v>4</v>
      </c>
      <c r="F97">
        <v>24580</v>
      </c>
      <c r="G97">
        <v>624</v>
      </c>
      <c r="H97">
        <v>755</v>
      </c>
      <c r="I97">
        <v>1389</v>
      </c>
      <c r="J97" t="str">
        <f>IF(Sales_Data[[#This Row],[Forex Rate]]&lt;900,"Below 900",IF(Sales_Data[[#This Row],[Forex Rate]]&lt;1100,"900–1099",IF(Sales_Data[[#This Row],[Forex Rate]]&lt;1300,"1100–1299","1300+")))</f>
        <v>1300+</v>
      </c>
      <c r="K97">
        <v>579742</v>
      </c>
      <c r="L97">
        <v>18557900</v>
      </c>
      <c r="M97">
        <v>2640238</v>
      </c>
      <c r="N97" t="str">
        <f>IF(Sales_Data[[#This Row],[Profit]]&lt;0,"Loss","Profit")</f>
        <v>Profit</v>
      </c>
      <c r="O97" s="2">
        <v>0.14227029998006199</v>
      </c>
    </row>
    <row r="98" spans="1:15" x14ac:dyDescent="0.25">
      <c r="A98" s="1">
        <v>45831</v>
      </c>
      <c r="B98" t="s">
        <v>19</v>
      </c>
      <c r="C98" t="s">
        <v>3</v>
      </c>
      <c r="D98" t="s">
        <v>34</v>
      </c>
      <c r="E98" t="s">
        <v>4</v>
      </c>
      <c r="F98">
        <v>29380</v>
      </c>
      <c r="G98">
        <v>563</v>
      </c>
      <c r="H98">
        <v>615</v>
      </c>
      <c r="I98">
        <v>1460</v>
      </c>
      <c r="J98" t="str">
        <f>IF(Sales_Data[[#This Row],[Forex Rate]]&lt;900,"Below 900",IF(Sales_Data[[#This Row],[Forex Rate]]&lt;1100,"900–1099",IF(Sales_Data[[#This Row],[Forex Rate]]&lt;1300,"1100–1299","1300+")))</f>
        <v>1300+</v>
      </c>
      <c r="K98">
        <v>227172</v>
      </c>
      <c r="L98">
        <v>18068700</v>
      </c>
      <c r="M98">
        <v>1300588</v>
      </c>
      <c r="N98" t="str">
        <f>IF(Sales_Data[[#This Row],[Profit]]&lt;0,"Loss","Profit")</f>
        <v>Profit</v>
      </c>
      <c r="O98" s="2">
        <v>7.1980164594021706E-2</v>
      </c>
    </row>
    <row r="99" spans="1:15" x14ac:dyDescent="0.25">
      <c r="A99" s="1">
        <v>45801</v>
      </c>
      <c r="B99" t="s">
        <v>17</v>
      </c>
      <c r="C99" t="s">
        <v>6</v>
      </c>
      <c r="D99" t="s">
        <v>36</v>
      </c>
      <c r="E99" t="s">
        <v>10</v>
      </c>
      <c r="F99">
        <v>27381</v>
      </c>
      <c r="G99">
        <v>719</v>
      </c>
      <c r="H99">
        <v>805</v>
      </c>
      <c r="I99">
        <v>1541</v>
      </c>
      <c r="J99" t="str">
        <f>IF(Sales_Data[[#This Row],[Forex Rate]]&lt;900,"Below 900",IF(Sales_Data[[#This Row],[Forex Rate]]&lt;1100,"900–1099",IF(Sales_Data[[#This Row],[Forex Rate]]&lt;1300,"1100–1299","1300+")))</f>
        <v>1300+</v>
      </c>
      <c r="K99">
        <v>743995</v>
      </c>
      <c r="L99">
        <v>22041705</v>
      </c>
      <c r="M99">
        <v>1610771</v>
      </c>
      <c r="N99" t="str">
        <f>IF(Sales_Data[[#This Row],[Profit]]&lt;0,"Loss","Profit")</f>
        <v>Profit</v>
      </c>
      <c r="O99" s="2">
        <v>7.3078330374170206E-2</v>
      </c>
    </row>
    <row r="100" spans="1:15" x14ac:dyDescent="0.25">
      <c r="A100" s="1">
        <v>45828</v>
      </c>
      <c r="B100" t="s">
        <v>19</v>
      </c>
      <c r="C100" t="s">
        <v>6</v>
      </c>
      <c r="D100" t="s">
        <v>34</v>
      </c>
      <c r="E100" t="s">
        <v>5</v>
      </c>
      <c r="F100">
        <v>21280</v>
      </c>
      <c r="G100">
        <v>507</v>
      </c>
      <c r="H100">
        <v>595</v>
      </c>
      <c r="I100">
        <v>1517</v>
      </c>
      <c r="J100" t="str">
        <f>IF(Sales_Data[[#This Row],[Forex Rate]]&lt;900,"Below 900",IF(Sales_Data[[#This Row],[Forex Rate]]&lt;1100,"900–1099",IF(Sales_Data[[#This Row],[Forex Rate]]&lt;1300,"1100–1299","1300+")))</f>
        <v>1300+</v>
      </c>
      <c r="K100">
        <v>410743</v>
      </c>
      <c r="L100">
        <v>12661600</v>
      </c>
      <c r="M100">
        <v>1461897</v>
      </c>
      <c r="N100" t="str">
        <f>IF(Sales_Data[[#This Row],[Profit]]&lt;0,"Loss","Profit")</f>
        <v>Profit</v>
      </c>
      <c r="O100" s="2">
        <v>0.115459104694509</v>
      </c>
    </row>
    <row r="101" spans="1:15" x14ac:dyDescent="0.25">
      <c r="A101" s="1">
        <v>45750</v>
      </c>
      <c r="B101" t="s">
        <v>16</v>
      </c>
      <c r="C101" t="s">
        <v>9</v>
      </c>
      <c r="D101" t="s">
        <v>35</v>
      </c>
      <c r="E101" t="s">
        <v>11</v>
      </c>
      <c r="F101">
        <v>35631</v>
      </c>
      <c r="G101">
        <v>446</v>
      </c>
      <c r="H101">
        <v>773</v>
      </c>
      <c r="I101">
        <v>1422</v>
      </c>
      <c r="J101" t="str">
        <f>IF(Sales_Data[[#This Row],[Forex Rate]]&lt;900,"Below 900",IF(Sales_Data[[#This Row],[Forex Rate]]&lt;1100,"900–1099",IF(Sales_Data[[#This Row],[Forex Rate]]&lt;1300,"1100–1299","1300+")))</f>
        <v>1300+</v>
      </c>
      <c r="K101">
        <v>331414</v>
      </c>
      <c r="L101">
        <v>27542763</v>
      </c>
      <c r="M101">
        <v>11319923</v>
      </c>
      <c r="N101" t="str">
        <f>IF(Sales_Data[[#This Row],[Profit]]&lt;0,"Loss","Profit")</f>
        <v>Profit</v>
      </c>
      <c r="O101" s="2">
        <v>0.41099445977878102</v>
      </c>
    </row>
    <row r="102" spans="1:15" x14ac:dyDescent="0.25">
      <c r="A102" s="1">
        <v>45777</v>
      </c>
      <c r="B102" t="s">
        <v>16</v>
      </c>
      <c r="C102" t="s">
        <v>3</v>
      </c>
      <c r="D102" t="s">
        <v>34</v>
      </c>
      <c r="E102" t="s">
        <v>5</v>
      </c>
      <c r="F102">
        <v>23880</v>
      </c>
      <c r="G102">
        <v>596</v>
      </c>
      <c r="H102">
        <v>654</v>
      </c>
      <c r="I102">
        <v>1407</v>
      </c>
      <c r="J102" t="str">
        <f>IF(Sales_Data[[#This Row],[Forex Rate]]&lt;900,"Below 900",IF(Sales_Data[[#This Row],[Forex Rate]]&lt;1100,"900–1099",IF(Sales_Data[[#This Row],[Forex Rate]]&lt;1300,"1100–1299","1300+")))</f>
        <v>1300+</v>
      </c>
      <c r="K102">
        <v>369834</v>
      </c>
      <c r="L102">
        <v>15617520</v>
      </c>
      <c r="M102">
        <v>1015206</v>
      </c>
      <c r="N102" t="str">
        <f>IF(Sales_Data[[#This Row],[Profit]]&lt;0,"Loss","Profit")</f>
        <v>Profit</v>
      </c>
      <c r="O102" s="2">
        <v>6.5004302859865096E-2</v>
      </c>
    </row>
    <row r="103" spans="1:15" x14ac:dyDescent="0.25">
      <c r="A103" s="1">
        <v>45790</v>
      </c>
      <c r="B103" t="s">
        <v>17</v>
      </c>
      <c r="C103" t="s">
        <v>3</v>
      </c>
      <c r="D103" t="s">
        <v>34</v>
      </c>
      <c r="E103" t="s">
        <v>5</v>
      </c>
      <c r="F103">
        <v>10168</v>
      </c>
      <c r="G103">
        <v>611</v>
      </c>
      <c r="H103">
        <v>689</v>
      </c>
      <c r="I103">
        <v>1401</v>
      </c>
      <c r="J103" t="str">
        <f>IF(Sales_Data[[#This Row],[Forex Rate]]&lt;900,"Below 900",IF(Sales_Data[[#This Row],[Forex Rate]]&lt;1100,"900–1099",IF(Sales_Data[[#This Row],[Forex Rate]]&lt;1300,"1100–1299","1300+")))</f>
        <v>1300+</v>
      </c>
      <c r="K103">
        <v>680425</v>
      </c>
      <c r="L103">
        <v>7005752</v>
      </c>
      <c r="M103">
        <v>112679</v>
      </c>
      <c r="N103" t="str">
        <f>IF(Sales_Data[[#This Row],[Profit]]&lt;0,"Loss","Profit")</f>
        <v>Profit</v>
      </c>
      <c r="O103" s="2">
        <v>1.6083783725144699E-2</v>
      </c>
    </row>
    <row r="104" spans="1:15" x14ac:dyDescent="0.25">
      <c r="A104" s="1">
        <v>45802</v>
      </c>
      <c r="B104" t="s">
        <v>17</v>
      </c>
      <c r="C104" t="s">
        <v>3</v>
      </c>
      <c r="D104" t="s">
        <v>36</v>
      </c>
      <c r="E104" t="s">
        <v>10</v>
      </c>
      <c r="F104">
        <v>6859</v>
      </c>
      <c r="G104">
        <v>651</v>
      </c>
      <c r="H104">
        <v>795</v>
      </c>
      <c r="I104">
        <v>1401</v>
      </c>
      <c r="J104" t="str">
        <f>IF(Sales_Data[[#This Row],[Forex Rate]]&lt;900,"Below 900",IF(Sales_Data[[#This Row],[Forex Rate]]&lt;1100,"900–1099",IF(Sales_Data[[#This Row],[Forex Rate]]&lt;1300,"1100–1299","1300+")))</f>
        <v>1300+</v>
      </c>
      <c r="K104">
        <v>743995</v>
      </c>
      <c r="L104">
        <v>5452905</v>
      </c>
      <c r="M104">
        <v>243701</v>
      </c>
      <c r="N104" t="str">
        <f>IF(Sales_Data[[#This Row],[Profit]]&lt;0,"Loss","Profit")</f>
        <v>Profit</v>
      </c>
      <c r="O104" s="2">
        <v>4.4691957772966903E-2</v>
      </c>
    </row>
    <row r="105" spans="1:15" x14ac:dyDescent="0.25">
      <c r="A105" s="1">
        <v>45833</v>
      </c>
      <c r="B105" t="s">
        <v>19</v>
      </c>
      <c r="C105" t="s">
        <v>6</v>
      </c>
      <c r="D105" t="s">
        <v>35</v>
      </c>
      <c r="E105" t="s">
        <v>11</v>
      </c>
      <c r="F105">
        <v>24492</v>
      </c>
      <c r="G105">
        <v>467</v>
      </c>
      <c r="H105">
        <v>531</v>
      </c>
      <c r="I105">
        <v>1389</v>
      </c>
      <c r="J105" t="str">
        <f>IF(Sales_Data[[#This Row],[Forex Rate]]&lt;900,"Below 900",IF(Sales_Data[[#This Row],[Forex Rate]]&lt;1100,"900–1099",IF(Sales_Data[[#This Row],[Forex Rate]]&lt;1300,"1100–1299","1300+")))</f>
        <v>1300+</v>
      </c>
      <c r="K105">
        <v>562147</v>
      </c>
      <c r="L105">
        <v>13005252</v>
      </c>
      <c r="M105">
        <v>1005341</v>
      </c>
      <c r="N105" t="str">
        <f>IF(Sales_Data[[#This Row],[Profit]]&lt;0,"Loss","Profit")</f>
        <v>Profit</v>
      </c>
      <c r="O105" s="2">
        <v>7.7302692789036301E-2</v>
      </c>
    </row>
    <row r="106" spans="1:15" x14ac:dyDescent="0.25">
      <c r="A106" s="1">
        <v>45739</v>
      </c>
      <c r="B106" t="s">
        <v>14</v>
      </c>
      <c r="C106" t="s">
        <v>9</v>
      </c>
      <c r="D106" t="s">
        <v>35</v>
      </c>
      <c r="E106" t="s">
        <v>11</v>
      </c>
      <c r="F106">
        <v>13029</v>
      </c>
      <c r="G106">
        <v>555</v>
      </c>
      <c r="H106">
        <v>623</v>
      </c>
      <c r="I106">
        <v>1299</v>
      </c>
      <c r="J106" t="str">
        <f>IF(Sales_Data[[#This Row],[Forex Rate]]&lt;900,"Below 900",IF(Sales_Data[[#This Row],[Forex Rate]]&lt;1100,"900–1099",IF(Sales_Data[[#This Row],[Forex Rate]]&lt;1300,"1100–1299","1300+")))</f>
        <v>1100–1299</v>
      </c>
      <c r="K106">
        <v>642323</v>
      </c>
      <c r="L106">
        <v>8117067</v>
      </c>
      <c r="M106">
        <v>243649</v>
      </c>
      <c r="N106" t="str">
        <f>IF(Sales_Data[[#This Row],[Profit]]&lt;0,"Loss","Profit")</f>
        <v>Profit</v>
      </c>
      <c r="O106" s="2">
        <v>3.0016876785666599E-2</v>
      </c>
    </row>
    <row r="107" spans="1:15" x14ac:dyDescent="0.25">
      <c r="A107" s="1">
        <v>45698</v>
      </c>
      <c r="B107" t="s">
        <v>15</v>
      </c>
      <c r="C107" t="s">
        <v>3</v>
      </c>
      <c r="D107" t="s">
        <v>35</v>
      </c>
      <c r="E107" t="s">
        <v>11</v>
      </c>
      <c r="F107">
        <v>35593</v>
      </c>
      <c r="G107">
        <v>684</v>
      </c>
      <c r="H107">
        <v>798</v>
      </c>
      <c r="I107">
        <v>1286</v>
      </c>
      <c r="J107" t="str">
        <f>IF(Sales_Data[[#This Row],[Forex Rate]]&lt;900,"Below 900",IF(Sales_Data[[#This Row],[Forex Rate]]&lt;1100,"900–1099",IF(Sales_Data[[#This Row],[Forex Rate]]&lt;1300,"1100–1299","1300+")))</f>
        <v>1100–1299</v>
      </c>
      <c r="K107">
        <v>642323</v>
      </c>
      <c r="L107">
        <v>28403214</v>
      </c>
      <c r="M107">
        <v>3415279</v>
      </c>
      <c r="N107" t="str">
        <f>IF(Sales_Data[[#This Row],[Profit]]&lt;0,"Loss","Profit")</f>
        <v>Profit</v>
      </c>
      <c r="O107" s="2">
        <v>0.12024269506965</v>
      </c>
    </row>
    <row r="108" spans="1:15" x14ac:dyDescent="0.25">
      <c r="A108" s="1">
        <v>45731</v>
      </c>
      <c r="B108" t="s">
        <v>14</v>
      </c>
      <c r="C108" t="s">
        <v>3</v>
      </c>
      <c r="D108" t="s">
        <v>36</v>
      </c>
      <c r="E108" t="s">
        <v>10</v>
      </c>
      <c r="F108">
        <v>12044</v>
      </c>
      <c r="G108">
        <v>638</v>
      </c>
      <c r="H108">
        <v>689</v>
      </c>
      <c r="I108">
        <v>1315</v>
      </c>
      <c r="J108" t="str">
        <f>IF(Sales_Data[[#This Row],[Forex Rate]]&lt;900,"Below 900",IF(Sales_Data[[#This Row],[Forex Rate]]&lt;1100,"900–1099",IF(Sales_Data[[#This Row],[Forex Rate]]&lt;1300,"1100–1299","1300+")))</f>
        <v>1300+</v>
      </c>
      <c r="K108">
        <v>743995</v>
      </c>
      <c r="L108">
        <v>8298316</v>
      </c>
      <c r="M108">
        <v>-129751</v>
      </c>
      <c r="N108" t="str">
        <f>IF(Sales_Data[[#This Row],[Profit]]&lt;0,"Loss","Profit")</f>
        <v>Loss</v>
      </c>
      <c r="O108" s="2">
        <v>-1.56358229790237E-2</v>
      </c>
    </row>
    <row r="109" spans="1:15" x14ac:dyDescent="0.25">
      <c r="A109" s="1">
        <v>45690</v>
      </c>
      <c r="B109" t="s">
        <v>15</v>
      </c>
      <c r="C109" t="s">
        <v>6</v>
      </c>
      <c r="D109" t="s">
        <v>36</v>
      </c>
      <c r="E109" t="s">
        <v>8</v>
      </c>
      <c r="F109">
        <v>29457</v>
      </c>
      <c r="G109">
        <v>587</v>
      </c>
      <c r="H109">
        <v>619</v>
      </c>
      <c r="I109">
        <v>1255</v>
      </c>
      <c r="J109" t="str">
        <f>IF(Sales_Data[[#This Row],[Forex Rate]]&lt;900,"Below 900",IF(Sales_Data[[#This Row],[Forex Rate]]&lt;1100,"900–1099",IF(Sales_Data[[#This Row],[Forex Rate]]&lt;1300,"1100–1299","1300+")))</f>
        <v>1100–1299</v>
      </c>
      <c r="K109">
        <v>675852</v>
      </c>
      <c r="L109">
        <v>18233883</v>
      </c>
      <c r="M109">
        <v>266772</v>
      </c>
      <c r="N109" t="str">
        <f>IF(Sales_Data[[#This Row],[Profit]]&lt;0,"Loss","Profit")</f>
        <v>Profit</v>
      </c>
      <c r="O109" s="2">
        <v>1.46305644277744E-2</v>
      </c>
    </row>
    <row r="110" spans="1:15" x14ac:dyDescent="0.25">
      <c r="A110" s="1">
        <v>45741</v>
      </c>
      <c r="B110" t="s">
        <v>14</v>
      </c>
      <c r="C110" t="s">
        <v>6</v>
      </c>
      <c r="D110" t="s">
        <v>34</v>
      </c>
      <c r="E110" t="s">
        <v>4</v>
      </c>
      <c r="F110">
        <v>19983</v>
      </c>
      <c r="G110">
        <v>510</v>
      </c>
      <c r="H110">
        <v>679</v>
      </c>
      <c r="I110">
        <v>1484</v>
      </c>
      <c r="J110" t="str">
        <f>IF(Sales_Data[[#This Row],[Forex Rate]]&lt;900,"Below 900",IF(Sales_Data[[#This Row],[Forex Rate]]&lt;1100,"900–1099",IF(Sales_Data[[#This Row],[Forex Rate]]&lt;1300,"1100–1299","1300+")))</f>
        <v>1300+</v>
      </c>
      <c r="K110">
        <v>697375</v>
      </c>
      <c r="L110">
        <v>13568457</v>
      </c>
      <c r="M110">
        <v>2679752</v>
      </c>
      <c r="N110" t="str">
        <f>IF(Sales_Data[[#This Row],[Profit]]&lt;0,"Loss","Profit")</f>
        <v>Profit</v>
      </c>
      <c r="O110" s="2">
        <v>0.1974986544159</v>
      </c>
    </row>
    <row r="111" spans="1:15" x14ac:dyDescent="0.25">
      <c r="A111" s="1">
        <v>45834</v>
      </c>
      <c r="B111" t="s">
        <v>19</v>
      </c>
      <c r="C111" t="s">
        <v>9</v>
      </c>
      <c r="D111" t="s">
        <v>35</v>
      </c>
      <c r="E111" t="s">
        <v>7</v>
      </c>
      <c r="F111">
        <v>36102</v>
      </c>
      <c r="G111">
        <v>579</v>
      </c>
      <c r="H111">
        <v>651</v>
      </c>
      <c r="I111">
        <v>1389</v>
      </c>
      <c r="J111" t="str">
        <f>IF(Sales_Data[[#This Row],[Forex Rate]]&lt;900,"Below 900",IF(Sales_Data[[#This Row],[Forex Rate]]&lt;1100,"900–1099",IF(Sales_Data[[#This Row],[Forex Rate]]&lt;1300,"1100–1299","1300+")))</f>
        <v>1300+</v>
      </c>
      <c r="K111">
        <v>849840</v>
      </c>
      <c r="L111">
        <v>23502402</v>
      </c>
      <c r="M111">
        <v>1749504</v>
      </c>
      <c r="N111" t="str">
        <f>IF(Sales_Data[[#This Row],[Profit]]&lt;0,"Loss","Profit")</f>
        <v>Profit</v>
      </c>
      <c r="O111" s="2">
        <v>7.4439370069493305E-2</v>
      </c>
    </row>
    <row r="112" spans="1:15" x14ac:dyDescent="0.25">
      <c r="A112" s="1">
        <v>45666</v>
      </c>
      <c r="B112" t="s">
        <v>18</v>
      </c>
      <c r="C112" t="s">
        <v>9</v>
      </c>
      <c r="D112" t="s">
        <v>36</v>
      </c>
      <c r="E112" t="s">
        <v>8</v>
      </c>
      <c r="F112">
        <v>6241</v>
      </c>
      <c r="G112">
        <v>656</v>
      </c>
      <c r="H112">
        <v>542</v>
      </c>
      <c r="I112">
        <v>1549</v>
      </c>
      <c r="J112" t="str">
        <f>IF(Sales_Data[[#This Row],[Forex Rate]]&lt;900,"Below 900",IF(Sales_Data[[#This Row],[Forex Rate]]&lt;1100,"900–1099",IF(Sales_Data[[#This Row],[Forex Rate]]&lt;1300,"1100–1299","1300+")))</f>
        <v>1300+</v>
      </c>
      <c r="K112">
        <v>675852</v>
      </c>
      <c r="L112">
        <v>3382622</v>
      </c>
      <c r="M112">
        <v>-1387326</v>
      </c>
      <c r="N112" t="str">
        <f>IF(Sales_Data[[#This Row],[Profit]]&lt;0,"Loss","Profit")</f>
        <v>Loss</v>
      </c>
      <c r="O112" s="2">
        <v>-0.41013332261186702</v>
      </c>
    </row>
    <row r="113" spans="1:15" x14ac:dyDescent="0.25">
      <c r="A113" s="1">
        <v>45827</v>
      </c>
      <c r="B113" t="s">
        <v>19</v>
      </c>
      <c r="C113" t="s">
        <v>9</v>
      </c>
      <c r="D113" t="s">
        <v>36</v>
      </c>
      <c r="E113" t="s">
        <v>10</v>
      </c>
      <c r="F113">
        <v>29695</v>
      </c>
      <c r="G113">
        <v>579</v>
      </c>
      <c r="H113">
        <v>604</v>
      </c>
      <c r="I113">
        <v>1389</v>
      </c>
      <c r="J113" t="str">
        <f>IF(Sales_Data[[#This Row],[Forex Rate]]&lt;900,"Below 900",IF(Sales_Data[[#This Row],[Forex Rate]]&lt;1100,"900–1099",IF(Sales_Data[[#This Row],[Forex Rate]]&lt;1300,"1100–1299","1300+")))</f>
        <v>1300+</v>
      </c>
      <c r="K113">
        <v>743995</v>
      </c>
      <c r="L113">
        <v>17935780</v>
      </c>
      <c r="M113">
        <v>-1620</v>
      </c>
      <c r="N113" t="str">
        <f>IF(Sales_Data[[#This Row],[Profit]]&lt;0,"Loss","Profit")</f>
        <v>Loss</v>
      </c>
      <c r="O113" s="2">
        <v>-9.03222497153734E-5</v>
      </c>
    </row>
    <row r="114" spans="1:15" x14ac:dyDescent="0.25">
      <c r="A114" s="1">
        <v>45707</v>
      </c>
      <c r="B114" t="s">
        <v>15</v>
      </c>
      <c r="C114" t="s">
        <v>6</v>
      </c>
      <c r="D114" t="s">
        <v>36</v>
      </c>
      <c r="E114" t="s">
        <v>10</v>
      </c>
      <c r="F114">
        <v>41574</v>
      </c>
      <c r="G114">
        <v>712</v>
      </c>
      <c r="H114">
        <v>767</v>
      </c>
      <c r="I114">
        <v>1391</v>
      </c>
      <c r="J114" t="str">
        <f>IF(Sales_Data[[#This Row],[Forex Rate]]&lt;900,"Below 900",IF(Sales_Data[[#This Row],[Forex Rate]]&lt;1100,"900–1099",IF(Sales_Data[[#This Row],[Forex Rate]]&lt;1300,"1100–1299","1300+")))</f>
        <v>1300+</v>
      </c>
      <c r="K114">
        <v>486741</v>
      </c>
      <c r="L114">
        <v>31887258</v>
      </c>
      <c r="M114">
        <v>1799829</v>
      </c>
      <c r="N114" t="str">
        <f>IF(Sales_Data[[#This Row],[Profit]]&lt;0,"Loss","Profit")</f>
        <v>Profit</v>
      </c>
      <c r="O114" s="2">
        <v>5.6443517344765097E-2</v>
      </c>
    </row>
    <row r="115" spans="1:15" x14ac:dyDescent="0.25">
      <c r="A115" s="1">
        <v>45759</v>
      </c>
      <c r="B115" t="s">
        <v>16</v>
      </c>
      <c r="C115" t="s">
        <v>3</v>
      </c>
      <c r="D115" t="s">
        <v>36</v>
      </c>
      <c r="E115" t="s">
        <v>10</v>
      </c>
      <c r="F115">
        <v>14599</v>
      </c>
      <c r="G115">
        <v>634</v>
      </c>
      <c r="H115">
        <v>745</v>
      </c>
      <c r="I115">
        <v>1531</v>
      </c>
      <c r="J115" t="str">
        <f>IF(Sales_Data[[#This Row],[Forex Rate]]&lt;900,"Below 900",IF(Sales_Data[[#This Row],[Forex Rate]]&lt;1100,"900–1099",IF(Sales_Data[[#This Row],[Forex Rate]]&lt;1300,"1100–1299","1300+")))</f>
        <v>1300+</v>
      </c>
      <c r="K115">
        <v>743995</v>
      </c>
      <c r="L115">
        <v>10876255</v>
      </c>
      <c r="M115">
        <v>876494</v>
      </c>
      <c r="N115" t="str">
        <f>IF(Sales_Data[[#This Row],[Profit]]&lt;0,"Loss","Profit")</f>
        <v>Profit</v>
      </c>
      <c r="O115" s="2">
        <v>8.0587849402206896E-2</v>
      </c>
    </row>
    <row r="116" spans="1:15" x14ac:dyDescent="0.25">
      <c r="A116" s="1">
        <v>45815</v>
      </c>
      <c r="B116" t="s">
        <v>19</v>
      </c>
      <c r="C116" t="s">
        <v>6</v>
      </c>
      <c r="D116" t="s">
        <v>34</v>
      </c>
      <c r="E116" t="s">
        <v>4</v>
      </c>
      <c r="F116">
        <v>19983</v>
      </c>
      <c r="G116">
        <v>692</v>
      </c>
      <c r="H116">
        <v>636</v>
      </c>
      <c r="I116">
        <v>1240</v>
      </c>
      <c r="J116" t="str">
        <f>IF(Sales_Data[[#This Row],[Forex Rate]]&lt;900,"Below 900",IF(Sales_Data[[#This Row],[Forex Rate]]&lt;1100,"900–1099",IF(Sales_Data[[#This Row],[Forex Rate]]&lt;1300,"1100–1299","1300+")))</f>
        <v>1100–1299</v>
      </c>
      <c r="K116">
        <v>777086</v>
      </c>
      <c r="L116">
        <v>12709188</v>
      </c>
      <c r="M116">
        <v>-1896134</v>
      </c>
      <c r="N116" t="str">
        <f>IF(Sales_Data[[#This Row],[Profit]]&lt;0,"Loss","Profit")</f>
        <v>Loss</v>
      </c>
      <c r="O116" s="2">
        <v>-0.14919395322502099</v>
      </c>
    </row>
    <row r="117" spans="1:15" x14ac:dyDescent="0.25">
      <c r="A117" s="1">
        <v>45780</v>
      </c>
      <c r="B117" t="s">
        <v>17</v>
      </c>
      <c r="C117" t="s">
        <v>6</v>
      </c>
      <c r="D117" t="s">
        <v>36</v>
      </c>
      <c r="E117" t="s">
        <v>10</v>
      </c>
      <c r="F117">
        <v>26048</v>
      </c>
      <c r="G117">
        <v>614</v>
      </c>
      <c r="H117">
        <v>696</v>
      </c>
      <c r="I117">
        <v>1565</v>
      </c>
      <c r="J117" t="str">
        <f>IF(Sales_Data[[#This Row],[Forex Rate]]&lt;900,"Below 900",IF(Sales_Data[[#This Row],[Forex Rate]]&lt;1100,"900–1099",IF(Sales_Data[[#This Row],[Forex Rate]]&lt;1300,"1100–1299","1300+")))</f>
        <v>1300+</v>
      </c>
      <c r="K117">
        <v>1179288</v>
      </c>
      <c r="L117">
        <v>18129408</v>
      </c>
      <c r="M117">
        <v>956648</v>
      </c>
      <c r="N117" t="str">
        <f>IF(Sales_Data[[#This Row],[Profit]]&lt;0,"Loss","Profit")</f>
        <v>Profit</v>
      </c>
      <c r="O117" s="2">
        <v>5.2767746194470298E-2</v>
      </c>
    </row>
    <row r="118" spans="1:15" x14ac:dyDescent="0.25">
      <c r="A118" s="1">
        <v>45732</v>
      </c>
      <c r="B118" t="s">
        <v>14</v>
      </c>
      <c r="C118" t="s">
        <v>6</v>
      </c>
      <c r="D118" t="s">
        <v>35</v>
      </c>
      <c r="E118" t="s">
        <v>11</v>
      </c>
      <c r="F118">
        <v>21373</v>
      </c>
      <c r="G118">
        <v>698</v>
      </c>
      <c r="H118">
        <v>895</v>
      </c>
      <c r="I118">
        <v>1405</v>
      </c>
      <c r="J118" t="str">
        <f>IF(Sales_Data[[#This Row],[Forex Rate]]&lt;900,"Below 900",IF(Sales_Data[[#This Row],[Forex Rate]]&lt;1100,"900–1099",IF(Sales_Data[[#This Row],[Forex Rate]]&lt;1300,"1100–1299","1300+")))</f>
        <v>1300+</v>
      </c>
      <c r="K118">
        <v>690755</v>
      </c>
      <c r="L118">
        <v>19128835</v>
      </c>
      <c r="M118">
        <v>3519726</v>
      </c>
      <c r="N118" t="str">
        <f>IF(Sales_Data[[#This Row],[Profit]]&lt;0,"Loss","Profit")</f>
        <v>Profit</v>
      </c>
      <c r="O118" s="2">
        <v>0.184001064361735</v>
      </c>
    </row>
    <row r="119" spans="1:15" x14ac:dyDescent="0.25">
      <c r="A119" s="1">
        <v>45775</v>
      </c>
      <c r="B119" t="s">
        <v>16</v>
      </c>
      <c r="C119" t="s">
        <v>9</v>
      </c>
      <c r="D119" t="s">
        <v>35</v>
      </c>
      <c r="E119" t="s">
        <v>11</v>
      </c>
      <c r="F119">
        <v>22371</v>
      </c>
      <c r="G119">
        <v>591</v>
      </c>
      <c r="H119">
        <v>754</v>
      </c>
      <c r="I119">
        <v>1456</v>
      </c>
      <c r="J119" t="str">
        <f>IF(Sales_Data[[#This Row],[Forex Rate]]&lt;900,"Below 900",IF(Sales_Data[[#This Row],[Forex Rate]]&lt;1100,"900–1099",IF(Sales_Data[[#This Row],[Forex Rate]]&lt;1300,"1100–1299","1300+")))</f>
        <v>1300+</v>
      </c>
      <c r="K119">
        <v>642323</v>
      </c>
      <c r="L119">
        <v>16867734</v>
      </c>
      <c r="M119">
        <v>3004150</v>
      </c>
      <c r="N119" t="str">
        <f>IF(Sales_Data[[#This Row],[Profit]]&lt;0,"Loss","Profit")</f>
        <v>Profit</v>
      </c>
      <c r="O119" s="2">
        <v>0.178100389773754</v>
      </c>
    </row>
    <row r="120" spans="1:15" x14ac:dyDescent="0.25">
      <c r="A120" s="1">
        <v>45829</v>
      </c>
      <c r="B120" t="s">
        <v>19</v>
      </c>
      <c r="C120" t="s">
        <v>6</v>
      </c>
      <c r="D120" t="s">
        <v>34</v>
      </c>
      <c r="E120" t="s">
        <v>5</v>
      </c>
      <c r="F120">
        <v>14215</v>
      </c>
      <c r="G120">
        <v>494</v>
      </c>
      <c r="H120">
        <v>651</v>
      </c>
      <c r="I120">
        <v>1389</v>
      </c>
      <c r="J120" t="str">
        <f>IF(Sales_Data[[#This Row],[Forex Rate]]&lt;900,"Below 900",IF(Sales_Data[[#This Row],[Forex Rate]]&lt;1100,"900–1099",IF(Sales_Data[[#This Row],[Forex Rate]]&lt;1300,"1100–1299","1300+")))</f>
        <v>1300+</v>
      </c>
      <c r="K120">
        <v>211991</v>
      </c>
      <c r="L120">
        <v>9253965</v>
      </c>
      <c r="M120">
        <v>2019764</v>
      </c>
      <c r="N120" t="str">
        <f>IF(Sales_Data[[#This Row],[Profit]]&lt;0,"Loss","Profit")</f>
        <v>Profit</v>
      </c>
      <c r="O120" s="2">
        <v>0.218259308307304</v>
      </c>
    </row>
    <row r="121" spans="1:15" x14ac:dyDescent="0.25">
      <c r="A121" s="1">
        <v>45673</v>
      </c>
      <c r="B121" t="s">
        <v>18</v>
      </c>
      <c r="C121" t="s">
        <v>3</v>
      </c>
      <c r="D121" t="s">
        <v>35</v>
      </c>
      <c r="E121" t="s">
        <v>11</v>
      </c>
      <c r="F121">
        <v>35500</v>
      </c>
      <c r="G121">
        <v>604</v>
      </c>
      <c r="H121">
        <v>676</v>
      </c>
      <c r="I121">
        <v>1576</v>
      </c>
      <c r="J121" t="str">
        <f>IF(Sales_Data[[#This Row],[Forex Rate]]&lt;900,"Below 900",IF(Sales_Data[[#This Row],[Forex Rate]]&lt;1100,"900–1099",IF(Sales_Data[[#This Row],[Forex Rate]]&lt;1300,"1100–1299","1300+")))</f>
        <v>1300+</v>
      </c>
      <c r="K121">
        <v>844481</v>
      </c>
      <c r="L121">
        <v>23998000</v>
      </c>
      <c r="M121">
        <v>1711519</v>
      </c>
      <c r="N121" t="str">
        <f>IF(Sales_Data[[#This Row],[Profit]]&lt;0,"Loss","Profit")</f>
        <v>Profit</v>
      </c>
      <c r="O121" s="2">
        <v>7.1319234936244702E-2</v>
      </c>
    </row>
    <row r="122" spans="1:15" x14ac:dyDescent="0.25">
      <c r="A122" s="1">
        <v>45774</v>
      </c>
      <c r="B122" t="s">
        <v>16</v>
      </c>
      <c r="C122" t="s">
        <v>9</v>
      </c>
      <c r="D122" t="s">
        <v>35</v>
      </c>
      <c r="E122" t="s">
        <v>11</v>
      </c>
      <c r="F122">
        <v>40994</v>
      </c>
      <c r="G122">
        <v>647</v>
      </c>
      <c r="H122">
        <v>741</v>
      </c>
      <c r="I122">
        <v>1411</v>
      </c>
      <c r="J122" t="str">
        <f>IF(Sales_Data[[#This Row],[Forex Rate]]&lt;900,"Below 900",IF(Sales_Data[[#This Row],[Forex Rate]]&lt;1100,"900–1099",IF(Sales_Data[[#This Row],[Forex Rate]]&lt;1300,"1100–1299","1300+")))</f>
        <v>1300+</v>
      </c>
      <c r="K122">
        <v>642323</v>
      </c>
      <c r="L122">
        <v>30376554</v>
      </c>
      <c r="M122">
        <v>3211113</v>
      </c>
      <c r="N122" t="str">
        <f>IF(Sales_Data[[#This Row],[Profit]]&lt;0,"Loss","Profit")</f>
        <v>Profit</v>
      </c>
      <c r="O122" s="2">
        <v>0.105710246132593</v>
      </c>
    </row>
    <row r="123" spans="1:15" x14ac:dyDescent="0.25">
      <c r="A123" s="1">
        <v>45804</v>
      </c>
      <c r="B123" t="s">
        <v>17</v>
      </c>
      <c r="C123" t="s">
        <v>9</v>
      </c>
      <c r="D123" t="s">
        <v>34</v>
      </c>
      <c r="E123" t="s">
        <v>4</v>
      </c>
      <c r="F123">
        <v>24703</v>
      </c>
      <c r="G123">
        <v>563</v>
      </c>
      <c r="H123">
        <v>598</v>
      </c>
      <c r="I123">
        <v>1560</v>
      </c>
      <c r="J123" t="str">
        <f>IF(Sales_Data[[#This Row],[Forex Rate]]&lt;900,"Below 900",IF(Sales_Data[[#This Row],[Forex Rate]]&lt;1100,"900–1099",IF(Sales_Data[[#This Row],[Forex Rate]]&lt;1300,"1100–1299","1300+")))</f>
        <v>1300+</v>
      </c>
      <c r="K123">
        <v>697375</v>
      </c>
      <c r="L123">
        <v>14772394</v>
      </c>
      <c r="M123">
        <v>167230</v>
      </c>
      <c r="N123" t="str">
        <f>IF(Sales_Data[[#This Row],[Profit]]&lt;0,"Loss","Profit")</f>
        <v>Profit</v>
      </c>
      <c r="O123" s="2">
        <v>1.1320440004511099E-2</v>
      </c>
    </row>
    <row r="124" spans="1:15" x14ac:dyDescent="0.25">
      <c r="A124" s="1">
        <v>45801</v>
      </c>
      <c r="B124" t="s">
        <v>17</v>
      </c>
      <c r="C124" t="s">
        <v>6</v>
      </c>
      <c r="D124" t="s">
        <v>35</v>
      </c>
      <c r="E124" t="s">
        <v>11</v>
      </c>
      <c r="F124">
        <v>6426</v>
      </c>
      <c r="G124">
        <v>496</v>
      </c>
      <c r="H124">
        <v>470</v>
      </c>
      <c r="I124">
        <v>1480</v>
      </c>
      <c r="J124" t="str">
        <f>IF(Sales_Data[[#This Row],[Forex Rate]]&lt;900,"Below 900",IF(Sales_Data[[#This Row],[Forex Rate]]&lt;1100,"900–1099",IF(Sales_Data[[#This Row],[Forex Rate]]&lt;1300,"1100–1299","1300+")))</f>
        <v>1300+</v>
      </c>
      <c r="K124">
        <v>1179981</v>
      </c>
      <c r="L124">
        <v>3020220</v>
      </c>
      <c r="M124">
        <v>-1347057</v>
      </c>
      <c r="N124" t="str">
        <f>IF(Sales_Data[[#This Row],[Profit]]&lt;0,"Loss","Profit")</f>
        <v>Loss</v>
      </c>
      <c r="O124" s="2">
        <v>-0.44601287323439998</v>
      </c>
    </row>
    <row r="125" spans="1:15" x14ac:dyDescent="0.25">
      <c r="A125" s="1">
        <v>45762</v>
      </c>
      <c r="B125" t="s">
        <v>16</v>
      </c>
      <c r="C125" t="s">
        <v>6</v>
      </c>
      <c r="D125" t="s">
        <v>34</v>
      </c>
      <c r="E125" t="s">
        <v>5</v>
      </c>
      <c r="F125">
        <v>32548</v>
      </c>
      <c r="G125">
        <v>535</v>
      </c>
      <c r="H125">
        <v>586</v>
      </c>
      <c r="I125">
        <v>1461</v>
      </c>
      <c r="J125" t="str">
        <f>IF(Sales_Data[[#This Row],[Forex Rate]]&lt;900,"Below 900",IF(Sales_Data[[#This Row],[Forex Rate]]&lt;1100,"900–1099",IF(Sales_Data[[#This Row],[Forex Rate]]&lt;1300,"1100–1299","1300+")))</f>
        <v>1300+</v>
      </c>
      <c r="K125">
        <v>680425</v>
      </c>
      <c r="L125">
        <v>19073128</v>
      </c>
      <c r="M125">
        <v>979523</v>
      </c>
      <c r="N125" t="str">
        <f>IF(Sales_Data[[#This Row],[Profit]]&lt;0,"Loss","Profit")</f>
        <v>Profit</v>
      </c>
      <c r="O125" s="2">
        <v>5.1356180276250399E-2</v>
      </c>
    </row>
    <row r="126" spans="1:15" x14ac:dyDescent="0.25">
      <c r="A126" s="1">
        <v>45658</v>
      </c>
      <c r="B126" t="s">
        <v>18</v>
      </c>
      <c r="C126" t="s">
        <v>9</v>
      </c>
      <c r="D126" t="s">
        <v>36</v>
      </c>
      <c r="E126" t="s">
        <v>8</v>
      </c>
      <c r="F126">
        <v>21285</v>
      </c>
      <c r="G126">
        <v>547</v>
      </c>
      <c r="H126">
        <v>561</v>
      </c>
      <c r="I126">
        <v>1400</v>
      </c>
      <c r="J126" t="str">
        <f>IF(Sales_Data[[#This Row],[Forex Rate]]&lt;900,"Below 900",IF(Sales_Data[[#This Row],[Forex Rate]]&lt;1100,"900–1099",IF(Sales_Data[[#This Row],[Forex Rate]]&lt;1300,"1100–1299","1300+")))</f>
        <v>1300+</v>
      </c>
      <c r="K126">
        <v>1002674</v>
      </c>
      <c r="L126">
        <v>11940885</v>
      </c>
      <c r="M126">
        <v>-704684</v>
      </c>
      <c r="N126" t="str">
        <f>IF(Sales_Data[[#This Row],[Profit]]&lt;0,"Loss","Profit")</f>
        <v>Loss</v>
      </c>
      <c r="O126" s="2">
        <v>-5.9014386287113599E-2</v>
      </c>
    </row>
    <row r="127" spans="1:15" x14ac:dyDescent="0.25">
      <c r="A127" s="1">
        <v>45719</v>
      </c>
      <c r="B127" t="s">
        <v>14</v>
      </c>
      <c r="C127" t="s">
        <v>3</v>
      </c>
      <c r="D127" t="s">
        <v>35</v>
      </c>
      <c r="E127" t="s">
        <v>11</v>
      </c>
      <c r="F127">
        <v>24418</v>
      </c>
      <c r="G127">
        <v>601</v>
      </c>
      <c r="H127">
        <v>658</v>
      </c>
      <c r="I127">
        <v>1496</v>
      </c>
      <c r="J127" t="str">
        <f>IF(Sales_Data[[#This Row],[Forex Rate]]&lt;900,"Below 900",IF(Sales_Data[[#This Row],[Forex Rate]]&lt;1100,"900–1099",IF(Sales_Data[[#This Row],[Forex Rate]]&lt;1300,"1100–1299","1300+")))</f>
        <v>1300+</v>
      </c>
      <c r="K127">
        <v>765979</v>
      </c>
      <c r="L127">
        <v>16067044</v>
      </c>
      <c r="M127">
        <v>625847</v>
      </c>
      <c r="N127" t="str">
        <f>IF(Sales_Data[[#This Row],[Profit]]&lt;0,"Loss","Profit")</f>
        <v>Profit</v>
      </c>
      <c r="O127" s="2">
        <v>3.8952217968656798E-2</v>
      </c>
    </row>
    <row r="128" spans="1:15" x14ac:dyDescent="0.25">
      <c r="A128" s="1">
        <v>45717</v>
      </c>
      <c r="B128" t="s">
        <v>14</v>
      </c>
      <c r="C128" t="s">
        <v>9</v>
      </c>
      <c r="D128" t="s">
        <v>36</v>
      </c>
      <c r="E128" t="s">
        <v>10</v>
      </c>
      <c r="F128">
        <v>23786</v>
      </c>
      <c r="G128">
        <v>666</v>
      </c>
      <c r="H128">
        <v>685</v>
      </c>
      <c r="I128">
        <v>1405</v>
      </c>
      <c r="J128" t="str">
        <f>IF(Sales_Data[[#This Row],[Forex Rate]]&lt;900,"Below 900",IF(Sales_Data[[#This Row],[Forex Rate]]&lt;1100,"900–1099",IF(Sales_Data[[#This Row],[Forex Rate]]&lt;1300,"1100–1299","1300+")))</f>
        <v>1300+</v>
      </c>
      <c r="K128">
        <v>1122446</v>
      </c>
      <c r="L128">
        <v>16293410</v>
      </c>
      <c r="M128">
        <v>-670512</v>
      </c>
      <c r="N128" t="str">
        <f>IF(Sales_Data[[#This Row],[Profit]]&lt;0,"Loss","Profit")</f>
        <v>Loss</v>
      </c>
      <c r="O128" s="2">
        <v>-4.1152343186601201E-2</v>
      </c>
    </row>
    <row r="129" spans="1:15" x14ac:dyDescent="0.25">
      <c r="A129" s="1">
        <v>45800</v>
      </c>
      <c r="B129" t="s">
        <v>17</v>
      </c>
      <c r="C129" t="s">
        <v>3</v>
      </c>
      <c r="D129" t="s">
        <v>36</v>
      </c>
      <c r="E129" t="s">
        <v>10</v>
      </c>
      <c r="F129">
        <v>22251</v>
      </c>
      <c r="G129">
        <v>656</v>
      </c>
      <c r="H129">
        <v>634</v>
      </c>
      <c r="I129">
        <v>1502</v>
      </c>
      <c r="J129" t="str">
        <f>IF(Sales_Data[[#This Row],[Forex Rate]]&lt;900,"Below 900",IF(Sales_Data[[#This Row],[Forex Rate]]&lt;1100,"900–1099",IF(Sales_Data[[#This Row],[Forex Rate]]&lt;1300,"1100–1299","1300+")))</f>
        <v>1300+</v>
      </c>
      <c r="K129">
        <v>452673</v>
      </c>
      <c r="L129">
        <v>14107134</v>
      </c>
      <c r="M129">
        <v>-942195</v>
      </c>
      <c r="N129" t="str">
        <f>IF(Sales_Data[[#This Row],[Profit]]&lt;0,"Loss","Profit")</f>
        <v>Loss</v>
      </c>
      <c r="O129" s="2">
        <v>-6.6788548262177103E-2</v>
      </c>
    </row>
    <row r="130" spans="1:15" x14ac:dyDescent="0.25">
      <c r="A130" s="1">
        <v>45776</v>
      </c>
      <c r="B130" t="s">
        <v>16</v>
      </c>
      <c r="C130" t="s">
        <v>6</v>
      </c>
      <c r="D130" t="s">
        <v>36</v>
      </c>
      <c r="E130" t="s">
        <v>8</v>
      </c>
      <c r="F130">
        <v>32045</v>
      </c>
      <c r="G130">
        <v>587</v>
      </c>
      <c r="H130">
        <v>625</v>
      </c>
      <c r="I130">
        <v>1569</v>
      </c>
      <c r="J130" t="str">
        <f>IF(Sales_Data[[#This Row],[Forex Rate]]&lt;900,"Below 900",IF(Sales_Data[[#This Row],[Forex Rate]]&lt;1100,"900–1099",IF(Sales_Data[[#This Row],[Forex Rate]]&lt;1300,"1100–1299","1300+")))</f>
        <v>1300+</v>
      </c>
      <c r="K130">
        <v>761654</v>
      </c>
      <c r="L130">
        <v>20028125</v>
      </c>
      <c r="M130">
        <v>456056</v>
      </c>
      <c r="N130" t="str">
        <f>IF(Sales_Data[[#This Row],[Profit]]&lt;0,"Loss","Profit")</f>
        <v>Profit</v>
      </c>
      <c r="O130" s="2">
        <v>2.27707785926042E-2</v>
      </c>
    </row>
    <row r="131" spans="1:15" x14ac:dyDescent="0.25">
      <c r="A131" s="1">
        <v>45830</v>
      </c>
      <c r="B131" t="s">
        <v>19</v>
      </c>
      <c r="C131" t="s">
        <v>9</v>
      </c>
      <c r="D131" t="s">
        <v>35</v>
      </c>
      <c r="E131" t="s">
        <v>7</v>
      </c>
      <c r="F131">
        <v>29491</v>
      </c>
      <c r="G131">
        <v>588</v>
      </c>
      <c r="H131">
        <v>858</v>
      </c>
      <c r="I131">
        <v>1583</v>
      </c>
      <c r="J131" t="str">
        <f>IF(Sales_Data[[#This Row],[Forex Rate]]&lt;900,"Below 900",IF(Sales_Data[[#This Row],[Forex Rate]]&lt;1100,"900–1099",IF(Sales_Data[[#This Row],[Forex Rate]]&lt;1300,"1100–1299","1300+")))</f>
        <v>1300+</v>
      </c>
      <c r="K131">
        <v>649484</v>
      </c>
      <c r="L131">
        <v>25303278</v>
      </c>
      <c r="M131">
        <v>7313086</v>
      </c>
      <c r="N131" t="str">
        <f>IF(Sales_Data[[#This Row],[Profit]]&lt;0,"Loss","Profit")</f>
        <v>Profit</v>
      </c>
      <c r="O131" s="2">
        <v>0.28901733601472501</v>
      </c>
    </row>
    <row r="132" spans="1:15" x14ac:dyDescent="0.25">
      <c r="A132" s="1">
        <v>45759</v>
      </c>
      <c r="B132" t="s">
        <v>16</v>
      </c>
      <c r="C132" t="s">
        <v>6</v>
      </c>
      <c r="D132" t="s">
        <v>34</v>
      </c>
      <c r="E132" t="s">
        <v>4</v>
      </c>
      <c r="F132">
        <v>26077</v>
      </c>
      <c r="G132">
        <v>580</v>
      </c>
      <c r="H132">
        <v>612</v>
      </c>
      <c r="I132">
        <v>1422</v>
      </c>
      <c r="J132" t="str">
        <f>IF(Sales_Data[[#This Row],[Forex Rate]]&lt;900,"Below 900",IF(Sales_Data[[#This Row],[Forex Rate]]&lt;1100,"900–1099",IF(Sales_Data[[#This Row],[Forex Rate]]&lt;1300,"1100–1299","1300+")))</f>
        <v>1300+</v>
      </c>
      <c r="K132">
        <v>998625</v>
      </c>
      <c r="L132">
        <v>15959124</v>
      </c>
      <c r="M132">
        <v>-164161</v>
      </c>
      <c r="N132" t="str">
        <f>IF(Sales_Data[[#This Row],[Profit]]&lt;0,"Loss","Profit")</f>
        <v>Loss</v>
      </c>
      <c r="O132" s="2">
        <v>-1.0286341531026401E-2</v>
      </c>
    </row>
    <row r="133" spans="1:15" x14ac:dyDescent="0.25">
      <c r="A133" s="1">
        <v>45763</v>
      </c>
      <c r="B133" t="s">
        <v>16</v>
      </c>
      <c r="C133" t="s">
        <v>9</v>
      </c>
      <c r="D133" t="s">
        <v>35</v>
      </c>
      <c r="E133" t="s">
        <v>7</v>
      </c>
      <c r="F133">
        <v>29491</v>
      </c>
      <c r="G133">
        <v>591</v>
      </c>
      <c r="H133">
        <v>711</v>
      </c>
      <c r="I133">
        <v>1318</v>
      </c>
      <c r="J133" t="str">
        <f>IF(Sales_Data[[#This Row],[Forex Rate]]&lt;900,"Below 900",IF(Sales_Data[[#This Row],[Forex Rate]]&lt;1100,"900–1099",IF(Sales_Data[[#This Row],[Forex Rate]]&lt;1300,"1100–1299","1300+")))</f>
        <v>1300+</v>
      </c>
      <c r="K133">
        <v>598290</v>
      </c>
      <c r="L133">
        <v>20968101</v>
      </c>
      <c r="M133">
        <v>2940630</v>
      </c>
      <c r="N133" t="str">
        <f>IF(Sales_Data[[#This Row],[Profit]]&lt;0,"Loss","Profit")</f>
        <v>Profit</v>
      </c>
      <c r="O133" s="2">
        <v>0.140243029161296</v>
      </c>
    </row>
    <row r="134" spans="1:15" x14ac:dyDescent="0.25">
      <c r="A134" s="1">
        <v>45723</v>
      </c>
      <c r="B134" t="s">
        <v>14</v>
      </c>
      <c r="C134" t="s">
        <v>6</v>
      </c>
      <c r="D134" t="s">
        <v>36</v>
      </c>
      <c r="E134" t="s">
        <v>10</v>
      </c>
      <c r="F134">
        <v>37151</v>
      </c>
      <c r="G134">
        <v>640</v>
      </c>
      <c r="H134">
        <v>729</v>
      </c>
      <c r="I134">
        <v>1410</v>
      </c>
      <c r="J134" t="str">
        <f>IF(Sales_Data[[#This Row],[Forex Rate]]&lt;900,"Below 900",IF(Sales_Data[[#This Row],[Forex Rate]]&lt;1100,"900–1099",IF(Sales_Data[[#This Row],[Forex Rate]]&lt;1300,"1100–1299","1300+")))</f>
        <v>1300+</v>
      </c>
      <c r="K134">
        <v>743995</v>
      </c>
      <c r="L134">
        <v>27083079</v>
      </c>
      <c r="M134">
        <v>2562444</v>
      </c>
      <c r="N134" t="str">
        <f>IF(Sales_Data[[#This Row],[Profit]]&lt;0,"Loss","Profit")</f>
        <v>Profit</v>
      </c>
      <c r="O134" s="2">
        <v>9.4614205423246001E-2</v>
      </c>
    </row>
    <row r="135" spans="1:15" x14ac:dyDescent="0.25">
      <c r="A135" s="1">
        <v>45693</v>
      </c>
      <c r="B135" t="s">
        <v>15</v>
      </c>
      <c r="C135" t="s">
        <v>9</v>
      </c>
      <c r="D135" t="s">
        <v>34</v>
      </c>
      <c r="E135" t="s">
        <v>5</v>
      </c>
      <c r="F135">
        <v>9454</v>
      </c>
      <c r="G135">
        <v>486</v>
      </c>
      <c r="H135">
        <v>750</v>
      </c>
      <c r="I135">
        <v>1391</v>
      </c>
      <c r="J135" t="str">
        <f>IF(Sales_Data[[#This Row],[Forex Rate]]&lt;900,"Below 900",IF(Sales_Data[[#This Row],[Forex Rate]]&lt;1100,"900–1099",IF(Sales_Data[[#This Row],[Forex Rate]]&lt;1300,"1100–1299","1300+")))</f>
        <v>1300+</v>
      </c>
      <c r="K135">
        <v>778440</v>
      </c>
      <c r="L135">
        <v>7090500</v>
      </c>
      <c r="M135">
        <v>1717416</v>
      </c>
      <c r="N135" t="str">
        <f>IF(Sales_Data[[#This Row],[Profit]]&lt;0,"Loss","Profit")</f>
        <v>Profit</v>
      </c>
      <c r="O135" s="2">
        <v>0.24221366617304799</v>
      </c>
    </row>
    <row r="136" spans="1:15" x14ac:dyDescent="0.25">
      <c r="A136" s="1">
        <v>45795</v>
      </c>
      <c r="B136" t="s">
        <v>17</v>
      </c>
      <c r="C136" t="s">
        <v>9</v>
      </c>
      <c r="D136" t="s">
        <v>36</v>
      </c>
      <c r="E136" t="s">
        <v>10</v>
      </c>
      <c r="F136">
        <v>23786</v>
      </c>
      <c r="G136">
        <v>622</v>
      </c>
      <c r="H136">
        <v>644</v>
      </c>
      <c r="I136">
        <v>1448</v>
      </c>
      <c r="J136" t="str">
        <f>IF(Sales_Data[[#This Row],[Forex Rate]]&lt;900,"Below 900",IF(Sales_Data[[#This Row],[Forex Rate]]&lt;1100,"900–1099",IF(Sales_Data[[#This Row],[Forex Rate]]&lt;1300,"1100–1299","1300+")))</f>
        <v>1300+</v>
      </c>
      <c r="K136">
        <v>571658</v>
      </c>
      <c r="L136">
        <v>15318184</v>
      </c>
      <c r="M136">
        <v>-48366</v>
      </c>
      <c r="N136" t="str">
        <f>IF(Sales_Data[[#This Row],[Profit]]&lt;0,"Loss","Profit")</f>
        <v>Loss</v>
      </c>
      <c r="O136" s="2">
        <v>-3.1574238826221198E-3</v>
      </c>
    </row>
    <row r="137" spans="1:15" x14ac:dyDescent="0.25">
      <c r="A137" s="1">
        <v>45761</v>
      </c>
      <c r="B137" t="s">
        <v>16</v>
      </c>
      <c r="C137" t="s">
        <v>6</v>
      </c>
      <c r="D137" t="s">
        <v>34</v>
      </c>
      <c r="E137" t="s">
        <v>5</v>
      </c>
      <c r="F137">
        <v>21280</v>
      </c>
      <c r="G137">
        <v>488</v>
      </c>
      <c r="H137">
        <v>570</v>
      </c>
      <c r="I137">
        <v>1422</v>
      </c>
      <c r="J137" t="str">
        <f>IF(Sales_Data[[#This Row],[Forex Rate]]&lt;900,"Below 900",IF(Sales_Data[[#This Row],[Forex Rate]]&lt;1100,"900–1099",IF(Sales_Data[[#This Row],[Forex Rate]]&lt;1300,"1100–1299","1300+")))</f>
        <v>1300+</v>
      </c>
      <c r="K137">
        <v>680425</v>
      </c>
      <c r="L137">
        <v>12129600</v>
      </c>
      <c r="M137">
        <v>1064535</v>
      </c>
      <c r="N137" t="str">
        <f>IF(Sales_Data[[#This Row],[Profit]]&lt;0,"Loss","Profit")</f>
        <v>Profit</v>
      </c>
      <c r="O137" s="2">
        <v>8.7763405223585306E-2</v>
      </c>
    </row>
    <row r="138" spans="1:15" x14ac:dyDescent="0.25">
      <c r="A138" s="1">
        <v>45679</v>
      </c>
      <c r="B138" t="s">
        <v>18</v>
      </c>
      <c r="C138" t="s">
        <v>9</v>
      </c>
      <c r="D138" t="s">
        <v>36</v>
      </c>
      <c r="E138" t="s">
        <v>8</v>
      </c>
      <c r="F138">
        <v>21285</v>
      </c>
      <c r="G138">
        <v>656</v>
      </c>
      <c r="H138">
        <v>686</v>
      </c>
      <c r="I138">
        <v>1400</v>
      </c>
      <c r="J138" t="str">
        <f>IF(Sales_Data[[#This Row],[Forex Rate]]&lt;900,"Below 900",IF(Sales_Data[[#This Row],[Forex Rate]]&lt;1100,"900–1099",IF(Sales_Data[[#This Row],[Forex Rate]]&lt;1300,"1100–1299","1300+")))</f>
        <v>1300+</v>
      </c>
      <c r="K138">
        <v>698598</v>
      </c>
      <c r="L138">
        <v>14601510</v>
      </c>
      <c r="M138">
        <v>-60048</v>
      </c>
      <c r="N138" t="str">
        <f>IF(Sales_Data[[#This Row],[Profit]]&lt;0,"Loss","Profit")</f>
        <v>Loss</v>
      </c>
      <c r="O138" s="2">
        <v>-4.1124513834528099E-3</v>
      </c>
    </row>
    <row r="139" spans="1:15" x14ac:dyDescent="0.25">
      <c r="A139" s="1">
        <v>45797</v>
      </c>
      <c r="B139" t="s">
        <v>17</v>
      </c>
      <c r="C139" t="s">
        <v>9</v>
      </c>
      <c r="D139" t="s">
        <v>36</v>
      </c>
      <c r="E139" t="s">
        <v>10</v>
      </c>
      <c r="F139">
        <v>16754</v>
      </c>
      <c r="G139">
        <v>563</v>
      </c>
      <c r="H139">
        <v>598</v>
      </c>
      <c r="I139">
        <v>1401</v>
      </c>
      <c r="J139" t="str">
        <f>IF(Sales_Data[[#This Row],[Forex Rate]]&lt;900,"Below 900",IF(Sales_Data[[#This Row],[Forex Rate]]&lt;1100,"900–1099",IF(Sales_Data[[#This Row],[Forex Rate]]&lt;1300,"1100–1299","1300+")))</f>
        <v>1300+</v>
      </c>
      <c r="K139">
        <v>1090704</v>
      </c>
      <c r="L139">
        <v>10018892</v>
      </c>
      <c r="M139">
        <v>-504314</v>
      </c>
      <c r="N139" t="str">
        <f>IF(Sales_Data[[#This Row],[Profit]]&lt;0,"Loss","Profit")</f>
        <v>Loss</v>
      </c>
      <c r="O139" s="2">
        <v>-5.0336304653249099E-2</v>
      </c>
    </row>
    <row r="140" spans="1:15" x14ac:dyDescent="0.25">
      <c r="A140" s="1">
        <v>45756</v>
      </c>
      <c r="B140" t="s">
        <v>16</v>
      </c>
      <c r="C140" t="s">
        <v>3</v>
      </c>
      <c r="D140" t="s">
        <v>36</v>
      </c>
      <c r="E140" t="s">
        <v>10</v>
      </c>
      <c r="F140">
        <v>22251</v>
      </c>
      <c r="G140">
        <v>436</v>
      </c>
      <c r="H140">
        <v>484</v>
      </c>
      <c r="I140">
        <v>1422</v>
      </c>
      <c r="J140" t="str">
        <f>IF(Sales_Data[[#This Row],[Forex Rate]]&lt;900,"Below 900",IF(Sales_Data[[#This Row],[Forex Rate]]&lt;1100,"900–1099",IF(Sales_Data[[#This Row],[Forex Rate]]&lt;1300,"1100–1299","1300+")))</f>
        <v>1300+</v>
      </c>
      <c r="K140">
        <v>1021609</v>
      </c>
      <c r="L140">
        <v>10769484</v>
      </c>
      <c r="M140">
        <v>46439</v>
      </c>
      <c r="N140" t="str">
        <f>IF(Sales_Data[[#This Row],[Profit]]&lt;0,"Loss","Profit")</f>
        <v>Profit</v>
      </c>
      <c r="O140" s="2">
        <v>4.3120914613922097E-3</v>
      </c>
    </row>
    <row r="141" spans="1:15" x14ac:dyDescent="0.25">
      <c r="A141" s="1">
        <v>45799</v>
      </c>
      <c r="B141" t="s">
        <v>17</v>
      </c>
      <c r="C141" t="s">
        <v>6</v>
      </c>
      <c r="D141" t="s">
        <v>34</v>
      </c>
      <c r="E141" t="s">
        <v>5</v>
      </c>
      <c r="F141">
        <v>21280</v>
      </c>
      <c r="G141">
        <v>595</v>
      </c>
      <c r="H141">
        <v>673</v>
      </c>
      <c r="I141">
        <v>1485</v>
      </c>
      <c r="J141" t="str">
        <f>IF(Sales_Data[[#This Row],[Forex Rate]]&lt;900,"Below 900",IF(Sales_Data[[#This Row],[Forex Rate]]&lt;1100,"900–1099",IF(Sales_Data[[#This Row],[Forex Rate]]&lt;1300,"1100–1299","1300+")))</f>
        <v>1300+</v>
      </c>
      <c r="K141">
        <v>680425</v>
      </c>
      <c r="L141">
        <v>14321440</v>
      </c>
      <c r="M141">
        <v>979415</v>
      </c>
      <c r="N141" t="str">
        <f>IF(Sales_Data[[#This Row],[Profit]]&lt;0,"Loss","Profit")</f>
        <v>Profit</v>
      </c>
      <c r="O141" s="2">
        <v>6.8388025226513494E-2</v>
      </c>
    </row>
    <row r="142" spans="1:15" x14ac:dyDescent="0.25">
      <c r="A142" s="1">
        <v>45739</v>
      </c>
      <c r="B142" t="s">
        <v>14</v>
      </c>
      <c r="C142" t="s">
        <v>9</v>
      </c>
      <c r="D142" t="s">
        <v>36</v>
      </c>
      <c r="E142" t="s">
        <v>10</v>
      </c>
      <c r="F142">
        <v>11982</v>
      </c>
      <c r="G142">
        <v>553</v>
      </c>
      <c r="H142">
        <v>489</v>
      </c>
      <c r="I142">
        <v>1422</v>
      </c>
      <c r="J142" t="str">
        <f>IF(Sales_Data[[#This Row],[Forex Rate]]&lt;900,"Below 900",IF(Sales_Data[[#This Row],[Forex Rate]]&lt;1100,"900–1099",IF(Sales_Data[[#This Row],[Forex Rate]]&lt;1300,"1100–1299","1300+")))</f>
        <v>1300+</v>
      </c>
      <c r="K142">
        <v>308310</v>
      </c>
      <c r="L142">
        <v>5859198</v>
      </c>
      <c r="M142">
        <v>-1075158</v>
      </c>
      <c r="N142" t="str">
        <f>IF(Sales_Data[[#This Row],[Profit]]&lt;0,"Loss","Profit")</f>
        <v>Loss</v>
      </c>
      <c r="O142" s="2">
        <v>-0.183499175143083</v>
      </c>
    </row>
    <row r="143" spans="1:15" x14ac:dyDescent="0.25">
      <c r="A143" s="1">
        <v>45810</v>
      </c>
      <c r="B143" t="s">
        <v>19</v>
      </c>
      <c r="C143" t="s">
        <v>6</v>
      </c>
      <c r="D143" t="s">
        <v>36</v>
      </c>
      <c r="E143" t="s">
        <v>8</v>
      </c>
      <c r="F143">
        <v>5808</v>
      </c>
      <c r="G143">
        <v>574</v>
      </c>
      <c r="H143">
        <v>631</v>
      </c>
      <c r="I143">
        <v>1268</v>
      </c>
      <c r="J143" t="str">
        <f>IF(Sales_Data[[#This Row],[Forex Rate]]&lt;900,"Below 900",IF(Sales_Data[[#This Row],[Forex Rate]]&lt;1100,"900–1099",IF(Sales_Data[[#This Row],[Forex Rate]]&lt;1300,"1100–1299","1300+")))</f>
        <v>1100–1299</v>
      </c>
      <c r="K143">
        <v>345584</v>
      </c>
      <c r="L143">
        <v>3664848</v>
      </c>
      <c r="M143">
        <v>-14528</v>
      </c>
      <c r="N143" t="str">
        <f>IF(Sales_Data[[#This Row],[Profit]]&lt;0,"Loss","Profit")</f>
        <v>Loss</v>
      </c>
      <c r="O143" s="2">
        <v>-3.9641480356074803E-3</v>
      </c>
    </row>
    <row r="144" spans="1:15" x14ac:dyDescent="0.25">
      <c r="A144" s="1">
        <v>45695</v>
      </c>
      <c r="B144" t="s">
        <v>15</v>
      </c>
      <c r="C144" t="s">
        <v>6</v>
      </c>
      <c r="D144" t="s">
        <v>35</v>
      </c>
      <c r="E144" t="s">
        <v>7</v>
      </c>
      <c r="F144">
        <v>33486</v>
      </c>
      <c r="G144">
        <v>546</v>
      </c>
      <c r="H144">
        <v>875</v>
      </c>
      <c r="I144">
        <v>1438</v>
      </c>
      <c r="J144" t="str">
        <f>IF(Sales_Data[[#This Row],[Forex Rate]]&lt;900,"Below 900",IF(Sales_Data[[#This Row],[Forex Rate]]&lt;1100,"900–1099",IF(Sales_Data[[#This Row],[Forex Rate]]&lt;1300,"1100–1299","1300+")))</f>
        <v>1300+</v>
      </c>
      <c r="K144">
        <v>342071</v>
      </c>
      <c r="L144">
        <v>29300250</v>
      </c>
      <c r="M144">
        <v>10674823</v>
      </c>
      <c r="N144" t="str">
        <f>IF(Sales_Data[[#This Row],[Profit]]&lt;0,"Loss","Profit")</f>
        <v>Profit</v>
      </c>
      <c r="O144" s="2">
        <v>0.36432532145630198</v>
      </c>
    </row>
    <row r="145" spans="1:15" x14ac:dyDescent="0.25">
      <c r="A145" s="1">
        <v>45742</v>
      </c>
      <c r="B145" t="s">
        <v>14</v>
      </c>
      <c r="C145" t="s">
        <v>6</v>
      </c>
      <c r="D145" t="s">
        <v>35</v>
      </c>
      <c r="E145" t="s">
        <v>7</v>
      </c>
      <c r="F145">
        <v>25354</v>
      </c>
      <c r="G145">
        <v>461</v>
      </c>
      <c r="H145">
        <v>763</v>
      </c>
      <c r="I145">
        <v>1586</v>
      </c>
      <c r="J145" t="str">
        <f>IF(Sales_Data[[#This Row],[Forex Rate]]&lt;900,"Below 900",IF(Sales_Data[[#This Row],[Forex Rate]]&lt;1100,"900–1099",IF(Sales_Data[[#This Row],[Forex Rate]]&lt;1300,"1100–1299","1300+")))</f>
        <v>1300+</v>
      </c>
      <c r="K145">
        <v>649484</v>
      </c>
      <c r="L145">
        <v>19345102</v>
      </c>
      <c r="M145">
        <v>7007424</v>
      </c>
      <c r="N145" t="str">
        <f>IF(Sales_Data[[#This Row],[Profit]]&lt;0,"Loss","Profit")</f>
        <v>Profit</v>
      </c>
      <c r="O145" s="2">
        <v>0.36223246587172298</v>
      </c>
    </row>
    <row r="146" spans="1:15" x14ac:dyDescent="0.25">
      <c r="A146" s="1">
        <v>45741</v>
      </c>
      <c r="B146" t="s">
        <v>14</v>
      </c>
      <c r="C146" t="s">
        <v>3</v>
      </c>
      <c r="D146" t="s">
        <v>35</v>
      </c>
      <c r="E146" t="s">
        <v>11</v>
      </c>
      <c r="F146">
        <v>30751</v>
      </c>
      <c r="G146">
        <v>601</v>
      </c>
      <c r="H146">
        <v>658</v>
      </c>
      <c r="I146">
        <v>1405</v>
      </c>
      <c r="J146" t="str">
        <f>IF(Sales_Data[[#This Row],[Forex Rate]]&lt;900,"Below 900",IF(Sales_Data[[#This Row],[Forex Rate]]&lt;1100,"900–1099",IF(Sales_Data[[#This Row],[Forex Rate]]&lt;1300,"1100–1299","1300+")))</f>
        <v>1300+</v>
      </c>
      <c r="K146">
        <v>642323</v>
      </c>
      <c r="L146">
        <v>20234158</v>
      </c>
      <c r="M146">
        <v>1110484</v>
      </c>
      <c r="N146" t="str">
        <f>IF(Sales_Data[[#This Row],[Profit]]&lt;0,"Loss","Profit")</f>
        <v>Profit</v>
      </c>
      <c r="O146" s="2">
        <v>5.48816511168886E-2</v>
      </c>
    </row>
    <row r="147" spans="1:15" x14ac:dyDescent="0.25">
      <c r="A147" s="1">
        <v>45835</v>
      </c>
      <c r="B147" t="s">
        <v>19</v>
      </c>
      <c r="C147" t="s">
        <v>9</v>
      </c>
      <c r="D147" t="s">
        <v>35</v>
      </c>
      <c r="E147" t="s">
        <v>7</v>
      </c>
      <c r="F147">
        <v>31813</v>
      </c>
      <c r="G147">
        <v>579</v>
      </c>
      <c r="H147">
        <v>519</v>
      </c>
      <c r="I147">
        <v>1389</v>
      </c>
      <c r="J147" t="str">
        <f>IF(Sales_Data[[#This Row],[Forex Rate]]&lt;900,"Below 900",IF(Sales_Data[[#This Row],[Forex Rate]]&lt;1100,"900–1099",IF(Sales_Data[[#This Row],[Forex Rate]]&lt;1300,"1100–1299","1300+")))</f>
        <v>1300+</v>
      </c>
      <c r="K147">
        <v>810527</v>
      </c>
      <c r="L147">
        <v>16510947</v>
      </c>
      <c r="M147">
        <v>-2719307</v>
      </c>
      <c r="N147" t="str">
        <f>IF(Sales_Data[[#This Row],[Profit]]&lt;0,"Loss","Profit")</f>
        <v>Loss</v>
      </c>
      <c r="O147" s="2">
        <v>-0.16469721573208401</v>
      </c>
    </row>
    <row r="148" spans="1:15" x14ac:dyDescent="0.25">
      <c r="A148" s="1">
        <v>45797</v>
      </c>
      <c r="B148" t="s">
        <v>17</v>
      </c>
      <c r="C148" t="s">
        <v>3</v>
      </c>
      <c r="D148" t="s">
        <v>36</v>
      </c>
      <c r="E148" t="s">
        <v>10</v>
      </c>
      <c r="F148">
        <v>22251</v>
      </c>
      <c r="G148">
        <v>611</v>
      </c>
      <c r="H148">
        <v>694</v>
      </c>
      <c r="I148">
        <v>1401</v>
      </c>
      <c r="J148" t="str">
        <f>IF(Sales_Data[[#This Row],[Forex Rate]]&lt;900,"Below 900",IF(Sales_Data[[#This Row],[Forex Rate]]&lt;1100,"900–1099",IF(Sales_Data[[#This Row],[Forex Rate]]&lt;1300,"1100–1299","1300+")))</f>
        <v>1300+</v>
      </c>
      <c r="K148">
        <v>989245</v>
      </c>
      <c r="L148">
        <v>15442194</v>
      </c>
      <c r="M148">
        <v>857588</v>
      </c>
      <c r="N148" t="str">
        <f>IF(Sales_Data[[#This Row],[Profit]]&lt;0,"Loss","Profit")</f>
        <v>Profit</v>
      </c>
      <c r="O148" s="2">
        <v>5.5535372758560103E-2</v>
      </c>
    </row>
    <row r="149" spans="1:15" x14ac:dyDescent="0.25">
      <c r="A149" s="1">
        <v>45683</v>
      </c>
      <c r="B149" t="s">
        <v>18</v>
      </c>
      <c r="C149" t="s">
        <v>6</v>
      </c>
      <c r="D149" t="s">
        <v>34</v>
      </c>
      <c r="E149" t="s">
        <v>4</v>
      </c>
      <c r="F149">
        <v>19983</v>
      </c>
      <c r="G149">
        <v>576</v>
      </c>
      <c r="H149">
        <v>549</v>
      </c>
      <c r="I149">
        <v>1400</v>
      </c>
      <c r="J149" t="str">
        <f>IF(Sales_Data[[#This Row],[Forex Rate]]&lt;900,"Below 900",IF(Sales_Data[[#This Row],[Forex Rate]]&lt;1100,"900–1099",IF(Sales_Data[[#This Row],[Forex Rate]]&lt;1300,"1100–1299","1300+")))</f>
        <v>1300+</v>
      </c>
      <c r="K149">
        <v>923975</v>
      </c>
      <c r="L149">
        <v>10970667</v>
      </c>
      <c r="M149">
        <v>-1463516</v>
      </c>
      <c r="N149" t="str">
        <f>IF(Sales_Data[[#This Row],[Profit]]&lt;0,"Loss","Profit")</f>
        <v>Loss</v>
      </c>
      <c r="O149" s="2">
        <v>-0.13340264543623501</v>
      </c>
    </row>
    <row r="150" spans="1:15" x14ac:dyDescent="0.25">
      <c r="A150" s="1">
        <v>45684</v>
      </c>
      <c r="B150" t="s">
        <v>18</v>
      </c>
      <c r="C150" t="s">
        <v>6</v>
      </c>
      <c r="D150" t="s">
        <v>34</v>
      </c>
      <c r="E150" t="s">
        <v>5</v>
      </c>
      <c r="F150">
        <v>32261</v>
      </c>
      <c r="G150">
        <v>639</v>
      </c>
      <c r="H150">
        <v>683</v>
      </c>
      <c r="I150">
        <v>1408</v>
      </c>
      <c r="J150" t="str">
        <f>IF(Sales_Data[[#This Row],[Forex Rate]]&lt;900,"Below 900",IF(Sales_Data[[#This Row],[Forex Rate]]&lt;1100,"900–1099",IF(Sales_Data[[#This Row],[Forex Rate]]&lt;1300,"1100–1299","1300+")))</f>
        <v>1300+</v>
      </c>
      <c r="K150">
        <v>680425</v>
      </c>
      <c r="L150">
        <v>22034263</v>
      </c>
      <c r="M150">
        <v>739059</v>
      </c>
      <c r="N150" t="str">
        <f>IF(Sales_Data[[#This Row],[Profit]]&lt;0,"Loss","Profit")</f>
        <v>Profit</v>
      </c>
      <c r="O150" s="2">
        <v>3.3541353300539298E-2</v>
      </c>
    </row>
    <row r="151" spans="1:15" x14ac:dyDescent="0.25">
      <c r="A151" s="1">
        <v>45734</v>
      </c>
      <c r="B151" t="s">
        <v>14</v>
      </c>
      <c r="C151" t="s">
        <v>6</v>
      </c>
      <c r="D151" t="s">
        <v>35</v>
      </c>
      <c r="E151" t="s">
        <v>11</v>
      </c>
      <c r="F151">
        <v>6480</v>
      </c>
      <c r="G151">
        <v>614</v>
      </c>
      <c r="H151">
        <v>727</v>
      </c>
      <c r="I151">
        <v>1332</v>
      </c>
      <c r="J151" t="str">
        <f>IF(Sales_Data[[#This Row],[Forex Rate]]&lt;900,"Below 900",IF(Sales_Data[[#This Row],[Forex Rate]]&lt;1100,"900–1099",IF(Sales_Data[[#This Row],[Forex Rate]]&lt;1300,"1100–1299","1300+")))</f>
        <v>1300+</v>
      </c>
      <c r="K151">
        <v>443118</v>
      </c>
      <c r="L151">
        <v>4710960</v>
      </c>
      <c r="M151">
        <v>289122</v>
      </c>
      <c r="N151" t="str">
        <f>IF(Sales_Data[[#This Row],[Profit]]&lt;0,"Loss","Profit")</f>
        <v>Profit</v>
      </c>
      <c r="O151" s="2">
        <v>6.1372204391461599E-2</v>
      </c>
    </row>
    <row r="152" spans="1:15" x14ac:dyDescent="0.25">
      <c r="A152" s="1">
        <v>45821</v>
      </c>
      <c r="B152" t="s">
        <v>19</v>
      </c>
      <c r="C152" t="s">
        <v>3</v>
      </c>
      <c r="D152" t="s">
        <v>34</v>
      </c>
      <c r="E152" t="s">
        <v>4</v>
      </c>
      <c r="F152">
        <v>24580</v>
      </c>
      <c r="G152">
        <v>563</v>
      </c>
      <c r="H152">
        <v>664</v>
      </c>
      <c r="I152">
        <v>1389</v>
      </c>
      <c r="J152" t="str">
        <f>IF(Sales_Data[[#This Row],[Forex Rate]]&lt;900,"Below 900",IF(Sales_Data[[#This Row],[Forex Rate]]&lt;1100,"900–1099",IF(Sales_Data[[#This Row],[Forex Rate]]&lt;1300,"1100–1299","1300+")))</f>
        <v>1300+</v>
      </c>
      <c r="K152">
        <v>1048014</v>
      </c>
      <c r="L152">
        <v>16321120</v>
      </c>
      <c r="M152">
        <v>1434566</v>
      </c>
      <c r="N152" t="str">
        <f>IF(Sales_Data[[#This Row],[Profit]]&lt;0,"Loss","Profit")</f>
        <v>Profit</v>
      </c>
      <c r="O152" s="2">
        <v>8.7896296332604595E-2</v>
      </c>
    </row>
    <row r="153" spans="1:15" x14ac:dyDescent="0.25">
      <c r="A153" s="1">
        <v>45751</v>
      </c>
      <c r="B153" t="s">
        <v>16</v>
      </c>
      <c r="C153" t="s">
        <v>3</v>
      </c>
      <c r="D153" t="s">
        <v>34</v>
      </c>
      <c r="E153" t="s">
        <v>4</v>
      </c>
      <c r="F153">
        <v>17915</v>
      </c>
      <c r="G153">
        <v>567</v>
      </c>
      <c r="H153">
        <v>885</v>
      </c>
      <c r="I153">
        <v>1422</v>
      </c>
      <c r="J153" t="str">
        <f>IF(Sales_Data[[#This Row],[Forex Rate]]&lt;900,"Below 900",IF(Sales_Data[[#This Row],[Forex Rate]]&lt;1100,"900–1099",IF(Sales_Data[[#This Row],[Forex Rate]]&lt;1300,"1100–1299","1300+")))</f>
        <v>1300+</v>
      </c>
      <c r="K153">
        <v>564825</v>
      </c>
      <c r="L153">
        <v>15854775</v>
      </c>
      <c r="M153">
        <v>5132145</v>
      </c>
      <c r="N153" t="str">
        <f>IF(Sales_Data[[#This Row],[Profit]]&lt;0,"Loss","Profit")</f>
        <v>Profit</v>
      </c>
      <c r="O153" s="2">
        <v>0.32369711963745901</v>
      </c>
    </row>
    <row r="154" spans="1:15" x14ac:dyDescent="0.25">
      <c r="A154" s="1">
        <v>45830</v>
      </c>
      <c r="B154" t="s">
        <v>19</v>
      </c>
      <c r="C154" t="s">
        <v>6</v>
      </c>
      <c r="D154" t="s">
        <v>36</v>
      </c>
      <c r="E154" t="s">
        <v>8</v>
      </c>
      <c r="F154">
        <v>17892</v>
      </c>
      <c r="G154">
        <v>455</v>
      </c>
      <c r="H154">
        <v>478</v>
      </c>
      <c r="I154">
        <v>1404</v>
      </c>
      <c r="J154" t="str">
        <f>IF(Sales_Data[[#This Row],[Forex Rate]]&lt;900,"Below 900",IF(Sales_Data[[#This Row],[Forex Rate]]&lt;1100,"900–1099",IF(Sales_Data[[#This Row],[Forex Rate]]&lt;1300,"1100–1299","1300+")))</f>
        <v>1300+</v>
      </c>
      <c r="K154">
        <v>602349</v>
      </c>
      <c r="L154">
        <v>8552376</v>
      </c>
      <c r="M154">
        <v>-190833</v>
      </c>
      <c r="N154" t="str">
        <f>IF(Sales_Data[[#This Row],[Profit]]&lt;0,"Loss","Profit")</f>
        <v>Loss</v>
      </c>
      <c r="O154" s="2">
        <v>-2.23134483329545E-2</v>
      </c>
    </row>
    <row r="155" spans="1:15" x14ac:dyDescent="0.25">
      <c r="A155" s="1">
        <v>45800</v>
      </c>
      <c r="B155" t="s">
        <v>17</v>
      </c>
      <c r="C155" t="s">
        <v>9</v>
      </c>
      <c r="D155" t="s">
        <v>35</v>
      </c>
      <c r="E155" t="s">
        <v>11</v>
      </c>
      <c r="F155">
        <v>37089</v>
      </c>
      <c r="G155">
        <v>563</v>
      </c>
      <c r="H155">
        <v>474</v>
      </c>
      <c r="I155">
        <v>1581</v>
      </c>
      <c r="J155" t="str">
        <f>IF(Sales_Data[[#This Row],[Forex Rate]]&lt;900,"Below 900",IF(Sales_Data[[#This Row],[Forex Rate]]&lt;1100,"900–1099",IF(Sales_Data[[#This Row],[Forex Rate]]&lt;1300,"1100–1299","1300+")))</f>
        <v>1300+</v>
      </c>
      <c r="K155">
        <v>642323</v>
      </c>
      <c r="L155">
        <v>17580186</v>
      </c>
      <c r="M155">
        <v>-3943244</v>
      </c>
      <c r="N155" t="str">
        <f>IF(Sales_Data[[#This Row],[Profit]]&lt;0,"Loss","Profit")</f>
        <v>Loss</v>
      </c>
      <c r="O155" s="2">
        <v>-0.22430047099615399</v>
      </c>
    </row>
    <row r="156" spans="1:15" x14ac:dyDescent="0.25">
      <c r="A156" s="1">
        <v>45762</v>
      </c>
      <c r="B156" t="s">
        <v>16</v>
      </c>
      <c r="C156" t="s">
        <v>3</v>
      </c>
      <c r="D156" t="s">
        <v>36</v>
      </c>
      <c r="E156" t="s">
        <v>10</v>
      </c>
      <c r="F156">
        <v>34088</v>
      </c>
      <c r="G156">
        <v>470</v>
      </c>
      <c r="H156">
        <v>574</v>
      </c>
      <c r="I156">
        <v>1422</v>
      </c>
      <c r="J156" t="str">
        <f>IF(Sales_Data[[#This Row],[Forex Rate]]&lt;900,"Below 900",IF(Sales_Data[[#This Row],[Forex Rate]]&lt;1100,"900–1099",IF(Sales_Data[[#This Row],[Forex Rate]]&lt;1300,"1100–1299","1300+")))</f>
        <v>1300+</v>
      </c>
      <c r="K156">
        <v>1003124</v>
      </c>
      <c r="L156">
        <v>19566512</v>
      </c>
      <c r="M156">
        <v>2542028</v>
      </c>
      <c r="N156" t="str">
        <f>IF(Sales_Data[[#This Row],[Profit]]&lt;0,"Loss","Profit")</f>
        <v>Profit</v>
      </c>
      <c r="O156" s="2">
        <v>0.12991727907355199</v>
      </c>
    </row>
    <row r="157" spans="1:15" x14ac:dyDescent="0.25">
      <c r="A157" s="1">
        <v>45804</v>
      </c>
      <c r="B157" t="s">
        <v>17</v>
      </c>
      <c r="C157" t="s">
        <v>3</v>
      </c>
      <c r="D157" t="s">
        <v>36</v>
      </c>
      <c r="E157" t="s">
        <v>8</v>
      </c>
      <c r="F157">
        <v>40593</v>
      </c>
      <c r="G157">
        <v>596</v>
      </c>
      <c r="H157">
        <v>691</v>
      </c>
      <c r="I157">
        <v>1401</v>
      </c>
      <c r="J157" t="str">
        <f>IF(Sales_Data[[#This Row],[Forex Rate]]&lt;900,"Below 900",IF(Sales_Data[[#This Row],[Forex Rate]]&lt;1100,"900–1099",IF(Sales_Data[[#This Row],[Forex Rate]]&lt;1300,"1100–1299","1300+")))</f>
        <v>1300+</v>
      </c>
      <c r="K157">
        <v>459555</v>
      </c>
      <c r="L157">
        <v>28049763</v>
      </c>
      <c r="M157">
        <v>3396780</v>
      </c>
      <c r="N157" t="str">
        <f>IF(Sales_Data[[#This Row],[Profit]]&lt;0,"Loss","Profit")</f>
        <v>Profit</v>
      </c>
      <c r="O157" s="2">
        <v>0.12109834938712299</v>
      </c>
    </row>
    <row r="158" spans="1:15" x14ac:dyDescent="0.25">
      <c r="A158" s="1">
        <v>45747</v>
      </c>
      <c r="B158" t="s">
        <v>14</v>
      </c>
      <c r="C158" t="s">
        <v>9</v>
      </c>
      <c r="D158" t="s">
        <v>35</v>
      </c>
      <c r="E158" t="s">
        <v>7</v>
      </c>
      <c r="F158">
        <v>33774</v>
      </c>
      <c r="G158">
        <v>540</v>
      </c>
      <c r="H158">
        <v>608</v>
      </c>
      <c r="I158">
        <v>1266</v>
      </c>
      <c r="J158" t="str">
        <f>IF(Sales_Data[[#This Row],[Forex Rate]]&lt;900,"Below 900",IF(Sales_Data[[#This Row],[Forex Rate]]&lt;1100,"900–1099",IF(Sales_Data[[#This Row],[Forex Rate]]&lt;1300,"1100–1299","1300+")))</f>
        <v>1100–1299</v>
      </c>
      <c r="K158">
        <v>1053047</v>
      </c>
      <c r="L158">
        <v>20534592</v>
      </c>
      <c r="M158">
        <v>1243585</v>
      </c>
      <c r="N158" t="str">
        <f>IF(Sales_Data[[#This Row],[Profit]]&lt;0,"Loss","Profit")</f>
        <v>Profit</v>
      </c>
      <c r="O158" s="2">
        <v>6.0560492265928599E-2</v>
      </c>
    </row>
    <row r="159" spans="1:15" x14ac:dyDescent="0.25">
      <c r="A159" s="1">
        <v>45810</v>
      </c>
      <c r="B159" t="s">
        <v>19</v>
      </c>
      <c r="C159" t="s">
        <v>3</v>
      </c>
      <c r="D159" t="s">
        <v>35</v>
      </c>
      <c r="E159" t="s">
        <v>7</v>
      </c>
      <c r="F159">
        <v>24178</v>
      </c>
      <c r="G159">
        <v>563</v>
      </c>
      <c r="H159">
        <v>664</v>
      </c>
      <c r="I159">
        <v>1500</v>
      </c>
      <c r="J159" t="str">
        <f>IF(Sales_Data[[#This Row],[Forex Rate]]&lt;900,"Below 900",IF(Sales_Data[[#This Row],[Forex Rate]]&lt;1100,"900–1099",IF(Sales_Data[[#This Row],[Forex Rate]]&lt;1300,"1100–1299","1300+")))</f>
        <v>1300+</v>
      </c>
      <c r="K159">
        <v>262165</v>
      </c>
      <c r="L159">
        <v>16054192</v>
      </c>
      <c r="M159">
        <v>2179813</v>
      </c>
      <c r="N159" t="str">
        <f>IF(Sales_Data[[#This Row],[Profit]]&lt;0,"Loss","Profit")</f>
        <v>Profit</v>
      </c>
      <c r="O159" s="2">
        <v>0.13577843095435799</v>
      </c>
    </row>
    <row r="160" spans="1:15" x14ac:dyDescent="0.25">
      <c r="A160" s="1">
        <v>45721</v>
      </c>
      <c r="B160" t="s">
        <v>14</v>
      </c>
      <c r="C160" t="s">
        <v>3</v>
      </c>
      <c r="D160" t="s">
        <v>34</v>
      </c>
      <c r="E160" t="s">
        <v>4</v>
      </c>
      <c r="F160">
        <v>24580</v>
      </c>
      <c r="G160">
        <v>601</v>
      </c>
      <c r="H160">
        <v>571</v>
      </c>
      <c r="I160">
        <v>1350</v>
      </c>
      <c r="J160" t="str">
        <f>IF(Sales_Data[[#This Row],[Forex Rate]]&lt;900,"Below 900",IF(Sales_Data[[#This Row],[Forex Rate]]&lt;1100,"900–1099",IF(Sales_Data[[#This Row],[Forex Rate]]&lt;1300,"1100–1299","1300+")))</f>
        <v>1300+</v>
      </c>
      <c r="K160">
        <v>697375</v>
      </c>
      <c r="L160">
        <v>14035180</v>
      </c>
      <c r="M160">
        <v>-1434775</v>
      </c>
      <c r="N160" t="str">
        <f>IF(Sales_Data[[#This Row],[Profit]]&lt;0,"Loss","Profit")</f>
        <v>Loss</v>
      </c>
      <c r="O160" s="2">
        <v>-0.102227046607169</v>
      </c>
    </row>
    <row r="161" spans="1:15" x14ac:dyDescent="0.25">
      <c r="A161" s="1">
        <v>45774</v>
      </c>
      <c r="B161" t="s">
        <v>16</v>
      </c>
      <c r="C161" t="s">
        <v>6</v>
      </c>
      <c r="D161" t="s">
        <v>36</v>
      </c>
      <c r="E161" t="s">
        <v>10</v>
      </c>
      <c r="F161">
        <v>26449</v>
      </c>
      <c r="G161">
        <v>681</v>
      </c>
      <c r="H161">
        <v>656</v>
      </c>
      <c r="I161">
        <v>1518</v>
      </c>
      <c r="J161" t="str">
        <f>IF(Sales_Data[[#This Row],[Forex Rate]]&lt;900,"Below 900",IF(Sales_Data[[#This Row],[Forex Rate]]&lt;1100,"900–1099",IF(Sales_Data[[#This Row],[Forex Rate]]&lt;1300,"1100–1299","1300+")))</f>
        <v>1300+</v>
      </c>
      <c r="K161">
        <v>428411</v>
      </c>
      <c r="L161">
        <v>17350544</v>
      </c>
      <c r="M161">
        <v>-1089636</v>
      </c>
      <c r="N161" t="str">
        <f>IF(Sales_Data[[#This Row],[Profit]]&lt;0,"Loss","Profit")</f>
        <v>Loss</v>
      </c>
      <c r="O161" s="2">
        <v>-6.2801258565725604E-2</v>
      </c>
    </row>
    <row r="162" spans="1:15" x14ac:dyDescent="0.25">
      <c r="A162" s="1">
        <v>45730</v>
      </c>
      <c r="B162" t="s">
        <v>14</v>
      </c>
      <c r="C162" t="s">
        <v>6</v>
      </c>
      <c r="D162" t="s">
        <v>35</v>
      </c>
      <c r="E162" t="s">
        <v>7</v>
      </c>
      <c r="F162">
        <v>40868</v>
      </c>
      <c r="G162">
        <v>566</v>
      </c>
      <c r="H162">
        <v>674</v>
      </c>
      <c r="I162">
        <v>1514</v>
      </c>
      <c r="J162" t="str">
        <f>IF(Sales_Data[[#This Row],[Forex Rate]]&lt;900,"Below 900",IF(Sales_Data[[#This Row],[Forex Rate]]&lt;1100,"900–1099",IF(Sales_Data[[#This Row],[Forex Rate]]&lt;1300,"1100–1299","1300+")))</f>
        <v>1300+</v>
      </c>
      <c r="K162">
        <v>217072</v>
      </c>
      <c r="L162">
        <v>27545032</v>
      </c>
      <c r="M162">
        <v>4196672</v>
      </c>
      <c r="N162" t="str">
        <f>IF(Sales_Data[[#This Row],[Profit]]&lt;0,"Loss","Profit")</f>
        <v>Profit</v>
      </c>
      <c r="O162" s="2">
        <v>0.15235676618564101</v>
      </c>
    </row>
    <row r="163" spans="1:15" x14ac:dyDescent="0.25">
      <c r="A163" s="1">
        <v>45767</v>
      </c>
      <c r="B163" t="s">
        <v>16</v>
      </c>
      <c r="C163" t="s">
        <v>6</v>
      </c>
      <c r="D163" t="s">
        <v>35</v>
      </c>
      <c r="E163" t="s">
        <v>11</v>
      </c>
      <c r="F163">
        <v>13645</v>
      </c>
      <c r="G163">
        <v>682</v>
      </c>
      <c r="H163">
        <v>563</v>
      </c>
      <c r="I163">
        <v>1466</v>
      </c>
      <c r="J163" t="str">
        <f>IF(Sales_Data[[#This Row],[Forex Rate]]&lt;900,"Below 900",IF(Sales_Data[[#This Row],[Forex Rate]]&lt;1100,"900–1099",IF(Sales_Data[[#This Row],[Forex Rate]]&lt;1300,"1100–1299","1300+")))</f>
        <v>1300+</v>
      </c>
      <c r="K163">
        <v>855993</v>
      </c>
      <c r="L163">
        <v>7682135</v>
      </c>
      <c r="M163">
        <v>-2479748</v>
      </c>
      <c r="N163" t="str">
        <f>IF(Sales_Data[[#This Row],[Profit]]&lt;0,"Loss","Profit")</f>
        <v>Loss</v>
      </c>
      <c r="O163" s="2">
        <v>-0.32279411908278099</v>
      </c>
    </row>
    <row r="164" spans="1:15" x14ac:dyDescent="0.25">
      <c r="A164" s="1">
        <v>45767</v>
      </c>
      <c r="B164" t="s">
        <v>16</v>
      </c>
      <c r="C164" t="s">
        <v>3</v>
      </c>
      <c r="D164" t="s">
        <v>36</v>
      </c>
      <c r="E164" t="s">
        <v>8</v>
      </c>
      <c r="F164">
        <v>11237</v>
      </c>
      <c r="G164">
        <v>563</v>
      </c>
      <c r="H164">
        <v>630</v>
      </c>
      <c r="I164">
        <v>1527</v>
      </c>
      <c r="J164" t="str">
        <f>IF(Sales_Data[[#This Row],[Forex Rate]]&lt;900,"Below 900",IF(Sales_Data[[#This Row],[Forex Rate]]&lt;1100,"900–1099",IF(Sales_Data[[#This Row],[Forex Rate]]&lt;1300,"1100–1299","1300+")))</f>
        <v>1300+</v>
      </c>
      <c r="K164">
        <v>338595</v>
      </c>
      <c r="L164">
        <v>7079310</v>
      </c>
      <c r="M164">
        <v>414284</v>
      </c>
      <c r="N164" t="str">
        <f>IF(Sales_Data[[#This Row],[Profit]]&lt;0,"Loss","Profit")</f>
        <v>Profit</v>
      </c>
      <c r="O164" s="2">
        <v>5.8520392524130202E-2</v>
      </c>
    </row>
    <row r="165" spans="1:15" x14ac:dyDescent="0.25">
      <c r="A165" s="1">
        <v>45680</v>
      </c>
      <c r="B165" t="s">
        <v>18</v>
      </c>
      <c r="C165" t="s">
        <v>9</v>
      </c>
      <c r="D165" t="s">
        <v>34</v>
      </c>
      <c r="E165" t="s">
        <v>5</v>
      </c>
      <c r="F165">
        <v>25535</v>
      </c>
      <c r="G165">
        <v>684</v>
      </c>
      <c r="H165">
        <v>765</v>
      </c>
      <c r="I165">
        <v>1400</v>
      </c>
      <c r="J165" t="str">
        <f>IF(Sales_Data[[#This Row],[Forex Rate]]&lt;900,"Below 900",IF(Sales_Data[[#This Row],[Forex Rate]]&lt;1100,"900–1099",IF(Sales_Data[[#This Row],[Forex Rate]]&lt;1300,"1100–1299","1300+")))</f>
        <v>1300+</v>
      </c>
      <c r="K165">
        <v>661477</v>
      </c>
      <c r="L165">
        <v>19534275</v>
      </c>
      <c r="M165">
        <v>1406858</v>
      </c>
      <c r="N165" t="str">
        <f>IF(Sales_Data[[#This Row],[Profit]]&lt;0,"Loss","Profit")</f>
        <v>Profit</v>
      </c>
      <c r="O165" s="2">
        <v>7.2019975146249401E-2</v>
      </c>
    </row>
    <row r="166" spans="1:15" x14ac:dyDescent="0.25">
      <c r="A166" s="1">
        <v>45763</v>
      </c>
      <c r="B166" t="s">
        <v>16</v>
      </c>
      <c r="C166" t="s">
        <v>3</v>
      </c>
      <c r="D166" t="s">
        <v>34</v>
      </c>
      <c r="E166" t="s">
        <v>4</v>
      </c>
      <c r="F166">
        <v>19237</v>
      </c>
      <c r="G166">
        <v>567</v>
      </c>
      <c r="H166">
        <v>623</v>
      </c>
      <c r="I166">
        <v>1256</v>
      </c>
      <c r="J166" t="str">
        <f>IF(Sales_Data[[#This Row],[Forex Rate]]&lt;900,"Below 900",IF(Sales_Data[[#This Row],[Forex Rate]]&lt;1100,"900–1099",IF(Sales_Data[[#This Row],[Forex Rate]]&lt;1300,"1100–1299","1300+")))</f>
        <v>1100–1299</v>
      </c>
      <c r="K166">
        <v>875933</v>
      </c>
      <c r="L166">
        <v>11984651</v>
      </c>
      <c r="M166">
        <v>201339</v>
      </c>
      <c r="N166" t="str">
        <f>IF(Sales_Data[[#This Row],[Profit]]&lt;0,"Loss","Profit")</f>
        <v>Profit</v>
      </c>
      <c r="O166" s="2">
        <v>1.67997382652194E-2</v>
      </c>
    </row>
    <row r="167" spans="1:15" x14ac:dyDescent="0.25">
      <c r="A167" s="1">
        <v>45834</v>
      </c>
      <c r="B167" t="s">
        <v>19</v>
      </c>
      <c r="C167" t="s">
        <v>3</v>
      </c>
      <c r="D167" t="s">
        <v>36</v>
      </c>
      <c r="E167" t="s">
        <v>10</v>
      </c>
      <c r="F167">
        <v>22251</v>
      </c>
      <c r="G167">
        <v>477</v>
      </c>
      <c r="H167">
        <v>519</v>
      </c>
      <c r="I167">
        <v>1245</v>
      </c>
      <c r="J167" t="str">
        <f>IF(Sales_Data[[#This Row],[Forex Rate]]&lt;900,"Below 900",IF(Sales_Data[[#This Row],[Forex Rate]]&lt;1100,"900–1099",IF(Sales_Data[[#This Row],[Forex Rate]]&lt;1300,"1100–1299","1300+")))</f>
        <v>1100–1299</v>
      </c>
      <c r="K167">
        <v>869077</v>
      </c>
      <c r="L167">
        <v>11548269</v>
      </c>
      <c r="M167">
        <v>65465</v>
      </c>
      <c r="N167" t="str">
        <f>IF(Sales_Data[[#This Row],[Profit]]&lt;0,"Loss","Profit")</f>
        <v>Profit</v>
      </c>
      <c r="O167" s="2">
        <v>5.6688149539987302E-3</v>
      </c>
    </row>
    <row r="168" spans="1:15" x14ac:dyDescent="0.25">
      <c r="A168" s="1">
        <v>45739</v>
      </c>
      <c r="B168" t="s">
        <v>14</v>
      </c>
      <c r="C168" t="s">
        <v>3</v>
      </c>
      <c r="D168" t="s">
        <v>34</v>
      </c>
      <c r="E168" t="s">
        <v>5</v>
      </c>
      <c r="F168">
        <v>42249</v>
      </c>
      <c r="G168">
        <v>625</v>
      </c>
      <c r="H168">
        <v>740</v>
      </c>
      <c r="I168">
        <v>1435</v>
      </c>
      <c r="J168" t="str">
        <f>IF(Sales_Data[[#This Row],[Forex Rate]]&lt;900,"Below 900",IF(Sales_Data[[#This Row],[Forex Rate]]&lt;1100,"900–1099",IF(Sales_Data[[#This Row],[Forex Rate]]&lt;1300,"1100–1299","1300+")))</f>
        <v>1300+</v>
      </c>
      <c r="K168">
        <v>241761</v>
      </c>
      <c r="L168">
        <v>31264260</v>
      </c>
      <c r="M168">
        <v>4616874</v>
      </c>
      <c r="N168" t="str">
        <f>IF(Sales_Data[[#This Row],[Profit]]&lt;0,"Loss","Profit")</f>
        <v>Profit</v>
      </c>
      <c r="O168" s="2">
        <v>0.14767258204736</v>
      </c>
    </row>
    <row r="169" spans="1:15" x14ac:dyDescent="0.25">
      <c r="A169" s="1">
        <v>45818</v>
      </c>
      <c r="B169" t="s">
        <v>19</v>
      </c>
      <c r="C169" t="s">
        <v>6</v>
      </c>
      <c r="D169" t="s">
        <v>36</v>
      </c>
      <c r="E169" t="s">
        <v>10</v>
      </c>
      <c r="F169">
        <v>32759</v>
      </c>
      <c r="G169">
        <v>612</v>
      </c>
      <c r="H169">
        <v>653</v>
      </c>
      <c r="I169">
        <v>1262</v>
      </c>
      <c r="J169" t="str">
        <f>IF(Sales_Data[[#This Row],[Forex Rate]]&lt;900,"Below 900",IF(Sales_Data[[#This Row],[Forex Rate]]&lt;1100,"900–1099",IF(Sales_Data[[#This Row],[Forex Rate]]&lt;1300,"1100–1299","1300+")))</f>
        <v>1100–1299</v>
      </c>
      <c r="K169">
        <v>743995</v>
      </c>
      <c r="L169">
        <v>21391627</v>
      </c>
      <c r="M169">
        <v>599124</v>
      </c>
      <c r="N169" t="str">
        <f>IF(Sales_Data[[#This Row],[Profit]]&lt;0,"Loss","Profit")</f>
        <v>Profit</v>
      </c>
      <c r="O169" s="2">
        <v>2.8007406823239801E-2</v>
      </c>
    </row>
    <row r="170" spans="1:15" x14ac:dyDescent="0.25">
      <c r="A170" s="1">
        <v>45737</v>
      </c>
      <c r="B170" t="s">
        <v>14</v>
      </c>
      <c r="C170" t="s">
        <v>3</v>
      </c>
      <c r="D170" t="s">
        <v>36</v>
      </c>
      <c r="E170" t="s">
        <v>8</v>
      </c>
      <c r="F170">
        <v>20639</v>
      </c>
      <c r="G170">
        <v>550</v>
      </c>
      <c r="H170">
        <v>628</v>
      </c>
      <c r="I170">
        <v>1405</v>
      </c>
      <c r="J170" t="str">
        <f>IF(Sales_Data[[#This Row],[Forex Rate]]&lt;900,"Below 900",IF(Sales_Data[[#This Row],[Forex Rate]]&lt;1100,"900–1099",IF(Sales_Data[[#This Row],[Forex Rate]]&lt;1300,"1100–1299","1300+")))</f>
        <v>1300+</v>
      </c>
      <c r="K170">
        <v>371790</v>
      </c>
      <c r="L170">
        <v>12961292</v>
      </c>
      <c r="M170">
        <v>1238052</v>
      </c>
      <c r="N170" t="str">
        <f>IF(Sales_Data[[#This Row],[Profit]]&lt;0,"Loss","Profit")</f>
        <v>Profit</v>
      </c>
      <c r="O170" s="2">
        <v>9.5519181266805794E-2</v>
      </c>
    </row>
    <row r="171" spans="1:15" x14ac:dyDescent="0.25">
      <c r="A171" s="1">
        <v>45700</v>
      </c>
      <c r="B171" t="s">
        <v>15</v>
      </c>
      <c r="C171" t="s">
        <v>6</v>
      </c>
      <c r="D171" t="s">
        <v>36</v>
      </c>
      <c r="E171" t="s">
        <v>10</v>
      </c>
      <c r="F171">
        <v>27381</v>
      </c>
      <c r="G171">
        <v>686</v>
      </c>
      <c r="H171">
        <v>733</v>
      </c>
      <c r="I171">
        <v>1391</v>
      </c>
      <c r="J171" t="str">
        <f>IF(Sales_Data[[#This Row],[Forex Rate]]&lt;900,"Below 900",IF(Sales_Data[[#This Row],[Forex Rate]]&lt;1100,"900–1099",IF(Sales_Data[[#This Row],[Forex Rate]]&lt;1300,"1100–1299","1300+")))</f>
        <v>1300+</v>
      </c>
      <c r="K171">
        <v>720248</v>
      </c>
      <c r="L171">
        <v>20070273</v>
      </c>
      <c r="M171">
        <v>566659</v>
      </c>
      <c r="N171" t="str">
        <f>IF(Sales_Data[[#This Row],[Profit]]&lt;0,"Loss","Profit")</f>
        <v>Profit</v>
      </c>
      <c r="O171" s="2">
        <v>2.8233746496622102E-2</v>
      </c>
    </row>
    <row r="172" spans="1:15" x14ac:dyDescent="0.25">
      <c r="A172" s="1">
        <v>45785</v>
      </c>
      <c r="B172" t="s">
        <v>17</v>
      </c>
      <c r="C172" t="s">
        <v>3</v>
      </c>
      <c r="D172" t="s">
        <v>35</v>
      </c>
      <c r="E172" t="s">
        <v>11</v>
      </c>
      <c r="F172">
        <v>15309</v>
      </c>
      <c r="G172">
        <v>596</v>
      </c>
      <c r="H172">
        <v>691</v>
      </c>
      <c r="I172">
        <v>1496</v>
      </c>
      <c r="J172" t="str">
        <f>IF(Sales_Data[[#This Row],[Forex Rate]]&lt;900,"Below 900",IF(Sales_Data[[#This Row],[Forex Rate]]&lt;1100,"900–1099",IF(Sales_Data[[#This Row],[Forex Rate]]&lt;1300,"1100–1299","1300+")))</f>
        <v>1300+</v>
      </c>
      <c r="K172">
        <v>248215</v>
      </c>
      <c r="L172">
        <v>10578519</v>
      </c>
      <c r="M172">
        <v>1206140</v>
      </c>
      <c r="N172" t="str">
        <f>IF(Sales_Data[[#This Row],[Profit]]&lt;0,"Loss","Profit")</f>
        <v>Profit</v>
      </c>
      <c r="O172" s="2">
        <v>0.11401785070292</v>
      </c>
    </row>
    <row r="173" spans="1:15" x14ac:dyDescent="0.25">
      <c r="A173" s="1">
        <v>45703</v>
      </c>
      <c r="B173" t="s">
        <v>15</v>
      </c>
      <c r="C173" t="s">
        <v>6</v>
      </c>
      <c r="D173" t="s">
        <v>35</v>
      </c>
      <c r="E173" t="s">
        <v>11</v>
      </c>
      <c r="F173">
        <v>41232</v>
      </c>
      <c r="G173">
        <v>602</v>
      </c>
      <c r="H173">
        <v>707</v>
      </c>
      <c r="I173">
        <v>1391</v>
      </c>
      <c r="J173" t="str">
        <f>IF(Sales_Data[[#This Row],[Forex Rate]]&lt;900,"Below 900",IF(Sales_Data[[#This Row],[Forex Rate]]&lt;1100,"900–1099",IF(Sales_Data[[#This Row],[Forex Rate]]&lt;1300,"1100–1299","1300+")))</f>
        <v>1300+</v>
      </c>
      <c r="K173">
        <v>1145753</v>
      </c>
      <c r="L173">
        <v>29151024</v>
      </c>
      <c r="M173">
        <v>3183607</v>
      </c>
      <c r="N173" t="str">
        <f>IF(Sales_Data[[#This Row],[Profit]]&lt;0,"Loss","Profit")</f>
        <v>Profit</v>
      </c>
      <c r="O173" s="2">
        <v>0.109210811942661</v>
      </c>
    </row>
    <row r="174" spans="1:15" x14ac:dyDescent="0.25">
      <c r="A174" s="1">
        <v>45760</v>
      </c>
      <c r="B174" t="s">
        <v>16</v>
      </c>
      <c r="C174" t="s">
        <v>9</v>
      </c>
      <c r="D174" t="s">
        <v>36</v>
      </c>
      <c r="E174" t="s">
        <v>8</v>
      </c>
      <c r="F174">
        <v>23501</v>
      </c>
      <c r="G174">
        <v>518</v>
      </c>
      <c r="H174">
        <v>581</v>
      </c>
      <c r="I174">
        <v>1297</v>
      </c>
      <c r="J174" t="str">
        <f>IF(Sales_Data[[#This Row],[Forex Rate]]&lt;900,"Below 900",IF(Sales_Data[[#This Row],[Forex Rate]]&lt;1100,"900–1099",IF(Sales_Data[[#This Row],[Forex Rate]]&lt;1300,"1100–1299","1300+")))</f>
        <v>1100–1299</v>
      </c>
      <c r="K174">
        <v>820432</v>
      </c>
      <c r="L174">
        <v>13654081</v>
      </c>
      <c r="M174">
        <v>660131</v>
      </c>
      <c r="N174" t="str">
        <f>IF(Sales_Data[[#This Row],[Profit]]&lt;0,"Loss","Profit")</f>
        <v>Profit</v>
      </c>
      <c r="O174" s="2">
        <v>4.8346790970406603E-2</v>
      </c>
    </row>
    <row r="175" spans="1:15" x14ac:dyDescent="0.25">
      <c r="A175" s="1">
        <v>45696</v>
      </c>
      <c r="B175" t="s">
        <v>15</v>
      </c>
      <c r="C175" t="s">
        <v>3</v>
      </c>
      <c r="D175" t="s">
        <v>36</v>
      </c>
      <c r="E175" t="s">
        <v>8</v>
      </c>
      <c r="F175">
        <v>31872</v>
      </c>
      <c r="G175">
        <v>550</v>
      </c>
      <c r="H175">
        <v>845</v>
      </c>
      <c r="I175">
        <v>1391</v>
      </c>
      <c r="J175" t="str">
        <f>IF(Sales_Data[[#This Row],[Forex Rate]]&lt;900,"Below 900",IF(Sales_Data[[#This Row],[Forex Rate]]&lt;1100,"900–1099",IF(Sales_Data[[#This Row],[Forex Rate]]&lt;1300,"1100–1299","1300+")))</f>
        <v>1300+</v>
      </c>
      <c r="K175">
        <v>962540</v>
      </c>
      <c r="L175">
        <v>26931840</v>
      </c>
      <c r="M175">
        <v>8439700</v>
      </c>
      <c r="N175" t="str">
        <f>IF(Sales_Data[[#This Row],[Profit]]&lt;0,"Loss","Profit")</f>
        <v>Profit</v>
      </c>
      <c r="O175" s="2">
        <v>0.31337257313276801</v>
      </c>
    </row>
    <row r="176" spans="1:15" x14ac:dyDescent="0.25">
      <c r="A176" s="1">
        <v>45765</v>
      </c>
      <c r="B176" t="s">
        <v>16</v>
      </c>
      <c r="C176" t="s">
        <v>9</v>
      </c>
      <c r="D176" t="s">
        <v>36</v>
      </c>
      <c r="E176" t="s">
        <v>8</v>
      </c>
      <c r="F176">
        <v>21285</v>
      </c>
      <c r="G176">
        <v>504</v>
      </c>
      <c r="H176">
        <v>684</v>
      </c>
      <c r="I176">
        <v>1422</v>
      </c>
      <c r="J176" t="str">
        <f>IF(Sales_Data[[#This Row],[Forex Rate]]&lt;900,"Below 900",IF(Sales_Data[[#This Row],[Forex Rate]]&lt;1100,"900–1099",IF(Sales_Data[[#This Row],[Forex Rate]]&lt;1300,"1100–1299","1300+")))</f>
        <v>1300+</v>
      </c>
      <c r="K176">
        <v>300219</v>
      </c>
      <c r="L176">
        <v>14558940</v>
      </c>
      <c r="M176">
        <v>3531081</v>
      </c>
      <c r="N176" t="str">
        <f>IF(Sales_Data[[#This Row],[Profit]]&lt;0,"Loss","Profit")</f>
        <v>Profit</v>
      </c>
      <c r="O176" s="2">
        <v>0.24253695667404401</v>
      </c>
    </row>
    <row r="177" spans="1:15" x14ac:dyDescent="0.25">
      <c r="A177" s="1">
        <v>45809</v>
      </c>
      <c r="B177" t="s">
        <v>19</v>
      </c>
      <c r="C177" t="s">
        <v>3</v>
      </c>
      <c r="D177" t="s">
        <v>35</v>
      </c>
      <c r="E177" t="s">
        <v>11</v>
      </c>
      <c r="F177">
        <v>33507</v>
      </c>
      <c r="G177">
        <v>675</v>
      </c>
      <c r="H177">
        <v>781</v>
      </c>
      <c r="I177">
        <v>1381</v>
      </c>
      <c r="J177" t="str">
        <f>IF(Sales_Data[[#This Row],[Forex Rate]]&lt;900,"Below 900",IF(Sales_Data[[#This Row],[Forex Rate]]&lt;1100,"900–1099",IF(Sales_Data[[#This Row],[Forex Rate]]&lt;1300,"1100–1299","1300+")))</f>
        <v>1300+</v>
      </c>
      <c r="K177">
        <v>642323</v>
      </c>
      <c r="L177">
        <v>26168967</v>
      </c>
      <c r="M177">
        <v>2909419</v>
      </c>
      <c r="N177" t="str">
        <f>IF(Sales_Data[[#This Row],[Profit]]&lt;0,"Loss","Profit")</f>
        <v>Profit</v>
      </c>
      <c r="O177" s="2">
        <v>0.11117821349234</v>
      </c>
    </row>
    <row r="178" spans="1:15" x14ac:dyDescent="0.25">
      <c r="A178" s="1">
        <v>45700</v>
      </c>
      <c r="B178" t="s">
        <v>15</v>
      </c>
      <c r="C178" t="s">
        <v>9</v>
      </c>
      <c r="D178" t="s">
        <v>34</v>
      </c>
      <c r="E178" t="s">
        <v>4</v>
      </c>
      <c r="F178">
        <v>25580</v>
      </c>
      <c r="G178">
        <v>456</v>
      </c>
      <c r="H178">
        <v>516</v>
      </c>
      <c r="I178">
        <v>1523</v>
      </c>
      <c r="J178" t="str">
        <f>IF(Sales_Data[[#This Row],[Forex Rate]]&lt;900,"Below 900",IF(Sales_Data[[#This Row],[Forex Rate]]&lt;1100,"900–1099",IF(Sales_Data[[#This Row],[Forex Rate]]&lt;1300,"1100–1299","1300+")))</f>
        <v>1300+</v>
      </c>
      <c r="K178">
        <v>697375</v>
      </c>
      <c r="L178">
        <v>13199280</v>
      </c>
      <c r="M178">
        <v>837425</v>
      </c>
      <c r="N178" t="str">
        <f>IF(Sales_Data[[#This Row],[Profit]]&lt;0,"Loss","Profit")</f>
        <v>Profit</v>
      </c>
      <c r="O178" s="2">
        <v>6.3444748501433404E-2</v>
      </c>
    </row>
    <row r="179" spans="1:15" x14ac:dyDescent="0.25">
      <c r="A179" s="1">
        <v>45741</v>
      </c>
      <c r="B179" t="s">
        <v>14</v>
      </c>
      <c r="C179" t="s">
        <v>3</v>
      </c>
      <c r="D179" t="s">
        <v>34</v>
      </c>
      <c r="E179" t="s">
        <v>4</v>
      </c>
      <c r="F179">
        <v>21267</v>
      </c>
      <c r="G179">
        <v>435</v>
      </c>
      <c r="H179">
        <v>473</v>
      </c>
      <c r="I179">
        <v>1405</v>
      </c>
      <c r="J179" t="str">
        <f>IF(Sales_Data[[#This Row],[Forex Rate]]&lt;900,"Below 900",IF(Sales_Data[[#This Row],[Forex Rate]]&lt;1100,"900–1099",IF(Sales_Data[[#This Row],[Forex Rate]]&lt;1300,"1100–1299","1300+")))</f>
        <v>1300+</v>
      </c>
      <c r="K179">
        <v>984417</v>
      </c>
      <c r="L179">
        <v>10059291</v>
      </c>
      <c r="M179">
        <v>-176271</v>
      </c>
      <c r="N179" t="str">
        <f>IF(Sales_Data[[#This Row],[Profit]]&lt;0,"Loss","Profit")</f>
        <v>Loss</v>
      </c>
      <c r="O179" s="2">
        <v>-1.7523203176048899E-2</v>
      </c>
    </row>
    <row r="180" spans="1:15" x14ac:dyDescent="0.25">
      <c r="A180" s="1">
        <v>45693</v>
      </c>
      <c r="B180" t="s">
        <v>15</v>
      </c>
      <c r="C180" t="s">
        <v>9</v>
      </c>
      <c r="D180" t="s">
        <v>35</v>
      </c>
      <c r="E180" t="s">
        <v>11</v>
      </c>
      <c r="F180">
        <v>5783</v>
      </c>
      <c r="G180">
        <v>667</v>
      </c>
      <c r="H180">
        <v>753</v>
      </c>
      <c r="I180">
        <v>1433</v>
      </c>
      <c r="J180" t="str">
        <f>IF(Sales_Data[[#This Row],[Forex Rate]]&lt;900,"Below 900",IF(Sales_Data[[#This Row],[Forex Rate]]&lt;1100,"900–1099",IF(Sales_Data[[#This Row],[Forex Rate]]&lt;1300,"1100–1299","1300+")))</f>
        <v>1300+</v>
      </c>
      <c r="K180">
        <v>222859</v>
      </c>
      <c r="L180">
        <v>4354599</v>
      </c>
      <c r="M180">
        <v>274479</v>
      </c>
      <c r="N180" t="str">
        <f>IF(Sales_Data[[#This Row],[Profit]]&lt;0,"Loss","Profit")</f>
        <v>Profit</v>
      </c>
      <c r="O180" s="2">
        <v>6.3031980671469395E-2</v>
      </c>
    </row>
    <row r="181" spans="1:15" x14ac:dyDescent="0.25">
      <c r="A181" s="1">
        <v>45681</v>
      </c>
      <c r="B181" t="s">
        <v>18</v>
      </c>
      <c r="C181" t="s">
        <v>3</v>
      </c>
      <c r="D181" t="s">
        <v>35</v>
      </c>
      <c r="E181" t="s">
        <v>11</v>
      </c>
      <c r="F181">
        <v>7798</v>
      </c>
      <c r="G181">
        <v>697</v>
      </c>
      <c r="H181">
        <v>798</v>
      </c>
      <c r="I181">
        <v>1371</v>
      </c>
      <c r="J181" t="str">
        <f>IF(Sales_Data[[#This Row],[Forex Rate]]&lt;900,"Below 900",IF(Sales_Data[[#This Row],[Forex Rate]]&lt;1100,"900–1099",IF(Sales_Data[[#This Row],[Forex Rate]]&lt;1300,"1100–1299","1300+")))</f>
        <v>1300+</v>
      </c>
      <c r="K181">
        <v>425146</v>
      </c>
      <c r="L181">
        <v>6222804</v>
      </c>
      <c r="M181">
        <v>362452</v>
      </c>
      <c r="N181" t="str">
        <f>IF(Sales_Data[[#This Row],[Profit]]&lt;0,"Loss","Profit")</f>
        <v>Profit</v>
      </c>
      <c r="O181" s="2">
        <v>5.82457683063776E-2</v>
      </c>
    </row>
    <row r="182" spans="1:15" x14ac:dyDescent="0.25">
      <c r="A182" s="1">
        <v>45696</v>
      </c>
      <c r="B182" t="s">
        <v>15</v>
      </c>
      <c r="C182" t="s">
        <v>6</v>
      </c>
      <c r="D182" t="s">
        <v>35</v>
      </c>
      <c r="E182" t="s">
        <v>7</v>
      </c>
      <c r="F182">
        <v>24340</v>
      </c>
      <c r="G182">
        <v>544</v>
      </c>
      <c r="H182">
        <v>622</v>
      </c>
      <c r="I182">
        <v>1391</v>
      </c>
      <c r="J182" t="str">
        <f>IF(Sales_Data[[#This Row],[Forex Rate]]&lt;900,"Below 900",IF(Sales_Data[[#This Row],[Forex Rate]]&lt;1100,"900–1099",IF(Sales_Data[[#This Row],[Forex Rate]]&lt;1300,"1100–1299","1300+")))</f>
        <v>1300+</v>
      </c>
      <c r="K182">
        <v>649484</v>
      </c>
      <c r="L182">
        <v>15139480</v>
      </c>
      <c r="M182">
        <v>1249036</v>
      </c>
      <c r="N182" t="str">
        <f>IF(Sales_Data[[#This Row],[Profit]]&lt;0,"Loss","Profit")</f>
        <v>Profit</v>
      </c>
      <c r="O182" s="2">
        <v>8.2501908916290403E-2</v>
      </c>
    </row>
    <row r="183" spans="1:15" x14ac:dyDescent="0.25">
      <c r="A183" s="1">
        <v>45780</v>
      </c>
      <c r="B183" t="s">
        <v>17</v>
      </c>
      <c r="C183" t="s">
        <v>9</v>
      </c>
      <c r="D183" t="s">
        <v>35</v>
      </c>
      <c r="E183" t="s">
        <v>7</v>
      </c>
      <c r="F183">
        <v>29491</v>
      </c>
      <c r="G183">
        <v>516</v>
      </c>
      <c r="H183">
        <v>549</v>
      </c>
      <c r="I183">
        <v>1401</v>
      </c>
      <c r="J183" t="str">
        <f>IF(Sales_Data[[#This Row],[Forex Rate]]&lt;900,"Below 900",IF(Sales_Data[[#This Row],[Forex Rate]]&lt;1100,"900–1099",IF(Sales_Data[[#This Row],[Forex Rate]]&lt;1300,"1100–1299","1300+")))</f>
        <v>1300+</v>
      </c>
      <c r="K183">
        <v>649484</v>
      </c>
      <c r="L183">
        <v>16190559</v>
      </c>
      <c r="M183">
        <v>323719</v>
      </c>
      <c r="N183" t="str">
        <f>IF(Sales_Data[[#This Row],[Profit]]&lt;0,"Loss","Profit")</f>
        <v>Profit</v>
      </c>
      <c r="O183" s="2">
        <v>1.9994306558531998E-2</v>
      </c>
    </row>
    <row r="184" spans="1:15" x14ac:dyDescent="0.25">
      <c r="A184" s="1">
        <v>45721</v>
      </c>
      <c r="B184" t="s">
        <v>14</v>
      </c>
      <c r="C184" t="s">
        <v>9</v>
      </c>
      <c r="D184" t="s">
        <v>34</v>
      </c>
      <c r="E184" t="s">
        <v>4</v>
      </c>
      <c r="F184">
        <v>24703</v>
      </c>
      <c r="G184">
        <v>437</v>
      </c>
      <c r="H184">
        <v>892</v>
      </c>
      <c r="I184">
        <v>1342</v>
      </c>
      <c r="J184" t="str">
        <f>IF(Sales_Data[[#This Row],[Forex Rate]]&lt;900,"Below 900",IF(Sales_Data[[#This Row],[Forex Rate]]&lt;1100,"900–1099",IF(Sales_Data[[#This Row],[Forex Rate]]&lt;1300,"1100–1299","1300+")))</f>
        <v>1300+</v>
      </c>
      <c r="K184">
        <v>697375</v>
      </c>
      <c r="L184">
        <v>22035076</v>
      </c>
      <c r="M184">
        <v>10542490</v>
      </c>
      <c r="N184" t="str">
        <f>IF(Sales_Data[[#This Row],[Profit]]&lt;0,"Loss","Profit")</f>
        <v>Profit</v>
      </c>
      <c r="O184" s="2">
        <v>0.478441281527688</v>
      </c>
    </row>
    <row r="185" spans="1:15" x14ac:dyDescent="0.25">
      <c r="A185" s="1">
        <v>45809</v>
      </c>
      <c r="B185" t="s">
        <v>19</v>
      </c>
      <c r="C185" t="s">
        <v>6</v>
      </c>
      <c r="D185" t="s">
        <v>36</v>
      </c>
      <c r="E185" t="s">
        <v>10</v>
      </c>
      <c r="F185">
        <v>27381</v>
      </c>
      <c r="G185">
        <v>704</v>
      </c>
      <c r="H185">
        <v>774</v>
      </c>
      <c r="I185">
        <v>1236</v>
      </c>
      <c r="J185" t="str">
        <f>IF(Sales_Data[[#This Row],[Forex Rate]]&lt;900,"Below 900",IF(Sales_Data[[#This Row],[Forex Rate]]&lt;1100,"900–1099",IF(Sales_Data[[#This Row],[Forex Rate]]&lt;1300,"1100–1299","1300+")))</f>
        <v>1100–1299</v>
      </c>
      <c r="K185">
        <v>752021</v>
      </c>
      <c r="L185">
        <v>21192894</v>
      </c>
      <c r="M185">
        <v>1164649</v>
      </c>
      <c r="N185" t="str">
        <f>IF(Sales_Data[[#This Row],[Profit]]&lt;0,"Loss","Profit")</f>
        <v>Profit</v>
      </c>
      <c r="O185" s="2">
        <v>5.4954693776130797E-2</v>
      </c>
    </row>
    <row r="186" spans="1:15" x14ac:dyDescent="0.25">
      <c r="A186" s="1">
        <v>45691</v>
      </c>
      <c r="B186" t="s">
        <v>15</v>
      </c>
      <c r="C186" t="s">
        <v>9</v>
      </c>
      <c r="D186" t="s">
        <v>35</v>
      </c>
      <c r="E186" t="s">
        <v>11</v>
      </c>
      <c r="F186">
        <v>16630</v>
      </c>
      <c r="G186">
        <v>427</v>
      </c>
      <c r="H186">
        <v>831</v>
      </c>
      <c r="I186">
        <v>1391</v>
      </c>
      <c r="J186" t="str">
        <f>IF(Sales_Data[[#This Row],[Forex Rate]]&lt;900,"Below 900",IF(Sales_Data[[#This Row],[Forex Rate]]&lt;1100,"900–1099",IF(Sales_Data[[#This Row],[Forex Rate]]&lt;1300,"1100–1299","1300+")))</f>
        <v>1300+</v>
      </c>
      <c r="K186">
        <v>614812</v>
      </c>
      <c r="L186">
        <v>13819530</v>
      </c>
      <c r="M186">
        <v>6103708</v>
      </c>
      <c r="N186" t="str">
        <f>IF(Sales_Data[[#This Row],[Profit]]&lt;0,"Loss","Profit")</f>
        <v>Profit</v>
      </c>
      <c r="O186" s="2">
        <v>0.44167261838861399</v>
      </c>
    </row>
    <row r="187" spans="1:15" x14ac:dyDescent="0.25">
      <c r="A187" s="1">
        <v>45692</v>
      </c>
      <c r="B187" t="s">
        <v>15</v>
      </c>
      <c r="C187" t="s">
        <v>6</v>
      </c>
      <c r="D187" t="s">
        <v>35</v>
      </c>
      <c r="E187" t="s">
        <v>7</v>
      </c>
      <c r="F187">
        <v>25354</v>
      </c>
      <c r="G187">
        <v>602</v>
      </c>
      <c r="H187">
        <v>762</v>
      </c>
      <c r="I187">
        <v>1289</v>
      </c>
      <c r="J187" t="str">
        <f>IF(Sales_Data[[#This Row],[Forex Rate]]&lt;900,"Below 900",IF(Sales_Data[[#This Row],[Forex Rate]]&lt;1100,"900–1099",IF(Sales_Data[[#This Row],[Forex Rate]]&lt;1300,"1100–1299","1300+")))</f>
        <v>1100–1299</v>
      </c>
      <c r="K187">
        <v>649484</v>
      </c>
      <c r="L187">
        <v>19319748</v>
      </c>
      <c r="M187">
        <v>3407156</v>
      </c>
      <c r="N187" t="str">
        <f>IF(Sales_Data[[#This Row],[Profit]]&lt;0,"Loss","Profit")</f>
        <v>Profit</v>
      </c>
      <c r="O187" s="2">
        <v>0.17635613052509799</v>
      </c>
    </row>
    <row r="188" spans="1:15" x14ac:dyDescent="0.25">
      <c r="A188" s="1">
        <v>45703</v>
      </c>
      <c r="B188" t="s">
        <v>15</v>
      </c>
      <c r="C188" t="s">
        <v>3</v>
      </c>
      <c r="D188" t="s">
        <v>35</v>
      </c>
      <c r="E188" t="s">
        <v>11</v>
      </c>
      <c r="F188">
        <v>24418</v>
      </c>
      <c r="G188">
        <v>550</v>
      </c>
      <c r="H188">
        <v>637</v>
      </c>
      <c r="I188">
        <v>1391</v>
      </c>
      <c r="J188" t="str">
        <f>IF(Sales_Data[[#This Row],[Forex Rate]]&lt;900,"Below 900",IF(Sales_Data[[#This Row],[Forex Rate]]&lt;1100,"900–1099",IF(Sales_Data[[#This Row],[Forex Rate]]&lt;1300,"1100–1299","1300+")))</f>
        <v>1300+</v>
      </c>
      <c r="K188">
        <v>449556</v>
      </c>
      <c r="L188">
        <v>15554266</v>
      </c>
      <c r="M188">
        <v>1674810</v>
      </c>
      <c r="N188" t="str">
        <f>IF(Sales_Data[[#This Row],[Profit]]&lt;0,"Loss","Profit")</f>
        <v>Profit</v>
      </c>
      <c r="O188" s="2">
        <v>0.107675283423853</v>
      </c>
    </row>
    <row r="189" spans="1:15" x14ac:dyDescent="0.25">
      <c r="A189" s="1">
        <v>45829</v>
      </c>
      <c r="B189" t="s">
        <v>19</v>
      </c>
      <c r="C189" t="s">
        <v>6</v>
      </c>
      <c r="D189" t="s">
        <v>34</v>
      </c>
      <c r="E189" t="s">
        <v>4</v>
      </c>
      <c r="F189">
        <v>5746</v>
      </c>
      <c r="G189">
        <v>628</v>
      </c>
      <c r="H189">
        <v>666</v>
      </c>
      <c r="I189">
        <v>1375</v>
      </c>
      <c r="J189" t="str">
        <f>IF(Sales_Data[[#This Row],[Forex Rate]]&lt;900,"Below 900",IF(Sales_Data[[#This Row],[Forex Rate]]&lt;1100,"900–1099",IF(Sales_Data[[#This Row],[Forex Rate]]&lt;1300,"1100–1299","1300+")))</f>
        <v>1300+</v>
      </c>
      <c r="K189">
        <v>1127519</v>
      </c>
      <c r="L189">
        <v>3826836</v>
      </c>
      <c r="M189">
        <v>-909171</v>
      </c>
      <c r="N189" t="str">
        <f>IF(Sales_Data[[#This Row],[Profit]]&lt;0,"Loss","Profit")</f>
        <v>Loss</v>
      </c>
      <c r="O189" s="2">
        <v>-0.237577727396732</v>
      </c>
    </row>
    <row r="190" spans="1:15" x14ac:dyDescent="0.25">
      <c r="A190" s="1">
        <v>45797</v>
      </c>
      <c r="B190" t="s">
        <v>17</v>
      </c>
      <c r="C190" t="s">
        <v>6</v>
      </c>
      <c r="D190" t="s">
        <v>35</v>
      </c>
      <c r="E190" t="s">
        <v>7</v>
      </c>
      <c r="F190">
        <v>25354</v>
      </c>
      <c r="G190">
        <v>615</v>
      </c>
      <c r="H190">
        <v>675</v>
      </c>
      <c r="I190">
        <v>1318</v>
      </c>
      <c r="J190" t="str">
        <f>IF(Sales_Data[[#This Row],[Forex Rate]]&lt;900,"Below 900",IF(Sales_Data[[#This Row],[Forex Rate]]&lt;1100,"900–1099",IF(Sales_Data[[#This Row],[Forex Rate]]&lt;1300,"1100–1299","1300+")))</f>
        <v>1300+</v>
      </c>
      <c r="K190">
        <v>277804</v>
      </c>
      <c r="L190">
        <v>17113950</v>
      </c>
      <c r="M190">
        <v>1243436</v>
      </c>
      <c r="N190" t="str">
        <f>IF(Sales_Data[[#This Row],[Profit]]&lt;0,"Loss","Profit")</f>
        <v>Profit</v>
      </c>
      <c r="O190" s="2">
        <v>7.2656283324422505E-2</v>
      </c>
    </row>
    <row r="191" spans="1:15" x14ac:dyDescent="0.25">
      <c r="A191" s="1">
        <v>45798</v>
      </c>
      <c r="B191" t="s">
        <v>17</v>
      </c>
      <c r="C191" t="s">
        <v>6</v>
      </c>
      <c r="D191" t="s">
        <v>34</v>
      </c>
      <c r="E191" t="s">
        <v>4</v>
      </c>
      <c r="F191">
        <v>19983</v>
      </c>
      <c r="G191">
        <v>631</v>
      </c>
      <c r="H191">
        <v>524</v>
      </c>
      <c r="I191">
        <v>1263</v>
      </c>
      <c r="J191" t="str">
        <f>IF(Sales_Data[[#This Row],[Forex Rate]]&lt;900,"Below 900",IF(Sales_Data[[#This Row],[Forex Rate]]&lt;1100,"900–1099",IF(Sales_Data[[#This Row],[Forex Rate]]&lt;1300,"1100–1299","1300+")))</f>
        <v>1100–1299</v>
      </c>
      <c r="K191">
        <v>697375</v>
      </c>
      <c r="L191">
        <v>10471092</v>
      </c>
      <c r="M191">
        <v>-2835556</v>
      </c>
      <c r="N191" t="str">
        <f>IF(Sales_Data[[#This Row],[Profit]]&lt;0,"Loss","Profit")</f>
        <v>Loss</v>
      </c>
      <c r="O191" s="2">
        <v>-0.27079849933512201</v>
      </c>
    </row>
    <row r="192" spans="1:15" x14ac:dyDescent="0.25">
      <c r="A192" s="1">
        <v>45827</v>
      </c>
      <c r="B192" t="s">
        <v>19</v>
      </c>
      <c r="C192" t="s">
        <v>3</v>
      </c>
      <c r="D192" t="s">
        <v>36</v>
      </c>
      <c r="E192" t="s">
        <v>10</v>
      </c>
      <c r="F192">
        <v>24490</v>
      </c>
      <c r="G192">
        <v>592</v>
      </c>
      <c r="H192">
        <v>612</v>
      </c>
      <c r="I192">
        <v>1389</v>
      </c>
      <c r="J192" t="str">
        <f>IF(Sales_Data[[#This Row],[Forex Rate]]&lt;900,"Below 900",IF(Sales_Data[[#This Row],[Forex Rate]]&lt;1100,"900–1099",IF(Sales_Data[[#This Row],[Forex Rate]]&lt;1300,"1100–1299","1300+")))</f>
        <v>1300+</v>
      </c>
      <c r="K192">
        <v>829371</v>
      </c>
      <c r="L192">
        <v>14987880</v>
      </c>
      <c r="M192">
        <v>-339571</v>
      </c>
      <c r="N192" t="str">
        <f>IF(Sales_Data[[#This Row],[Profit]]&lt;0,"Loss","Profit")</f>
        <v>Loss</v>
      </c>
      <c r="O192" s="2">
        <v>-2.2656373016063599E-2</v>
      </c>
    </row>
    <row r="193" spans="1:15" x14ac:dyDescent="0.25">
      <c r="A193" s="1">
        <v>45701</v>
      </c>
      <c r="B193" t="s">
        <v>15</v>
      </c>
      <c r="C193" t="s">
        <v>9</v>
      </c>
      <c r="D193" t="s">
        <v>34</v>
      </c>
      <c r="E193" t="s">
        <v>4</v>
      </c>
      <c r="F193">
        <v>10369</v>
      </c>
      <c r="G193">
        <v>539</v>
      </c>
      <c r="H193">
        <v>569</v>
      </c>
      <c r="I193">
        <v>1554</v>
      </c>
      <c r="J193" t="str">
        <f>IF(Sales_Data[[#This Row],[Forex Rate]]&lt;900,"Below 900",IF(Sales_Data[[#This Row],[Forex Rate]]&lt;1100,"900–1099",IF(Sales_Data[[#This Row],[Forex Rate]]&lt;1300,"1100–1299","1300+")))</f>
        <v>1300+</v>
      </c>
      <c r="K193">
        <v>395646</v>
      </c>
      <c r="L193">
        <v>5899961</v>
      </c>
      <c r="M193">
        <v>-84576</v>
      </c>
      <c r="N193" t="str">
        <f>IF(Sales_Data[[#This Row],[Profit]]&lt;0,"Loss","Profit")</f>
        <v>Loss</v>
      </c>
      <c r="O193" s="2">
        <v>-1.43350100110831E-2</v>
      </c>
    </row>
    <row r="194" spans="1:15" x14ac:dyDescent="0.25">
      <c r="A194" s="1">
        <v>45725</v>
      </c>
      <c r="B194" t="s">
        <v>14</v>
      </c>
      <c r="C194" t="s">
        <v>6</v>
      </c>
      <c r="D194" t="s">
        <v>35</v>
      </c>
      <c r="E194" t="s">
        <v>7</v>
      </c>
      <c r="F194">
        <v>22600</v>
      </c>
      <c r="G194">
        <v>465</v>
      </c>
      <c r="H194">
        <v>605</v>
      </c>
      <c r="I194">
        <v>1405</v>
      </c>
      <c r="J194" t="str">
        <f>IF(Sales_Data[[#This Row],[Forex Rate]]&lt;900,"Below 900",IF(Sales_Data[[#This Row],[Forex Rate]]&lt;1100,"900–1099",IF(Sales_Data[[#This Row],[Forex Rate]]&lt;1300,"1100–1299","1300+")))</f>
        <v>1300+</v>
      </c>
      <c r="K194">
        <v>1081639</v>
      </c>
      <c r="L194">
        <v>13673000</v>
      </c>
      <c r="M194">
        <v>2082361</v>
      </c>
      <c r="N194" t="str">
        <f>IF(Sales_Data[[#This Row],[Profit]]&lt;0,"Loss","Profit")</f>
        <v>Profit</v>
      </c>
      <c r="O194" s="2">
        <v>0.15229730125064</v>
      </c>
    </row>
    <row r="195" spans="1:15" x14ac:dyDescent="0.25">
      <c r="A195" s="1">
        <v>45804</v>
      </c>
      <c r="B195" t="s">
        <v>17</v>
      </c>
      <c r="C195" t="s">
        <v>3</v>
      </c>
      <c r="D195" t="s">
        <v>35</v>
      </c>
      <c r="E195" t="s">
        <v>7</v>
      </c>
      <c r="F195">
        <v>36212</v>
      </c>
      <c r="G195">
        <v>538</v>
      </c>
      <c r="H195">
        <v>604</v>
      </c>
      <c r="I195">
        <v>1248</v>
      </c>
      <c r="J195" t="str">
        <f>IF(Sales_Data[[#This Row],[Forex Rate]]&lt;900,"Below 900",IF(Sales_Data[[#This Row],[Forex Rate]]&lt;1100,"900–1099",IF(Sales_Data[[#This Row],[Forex Rate]]&lt;1300,"1100–1299","1300+")))</f>
        <v>1100–1299</v>
      </c>
      <c r="K195">
        <v>1195163</v>
      </c>
      <c r="L195">
        <v>21872048</v>
      </c>
      <c r="M195">
        <v>1194829</v>
      </c>
      <c r="N195" t="str">
        <f>IF(Sales_Data[[#This Row],[Profit]]&lt;0,"Loss","Profit")</f>
        <v>Profit</v>
      </c>
      <c r="O195" s="2">
        <v>5.4628126273314703E-2</v>
      </c>
    </row>
    <row r="196" spans="1:15" x14ac:dyDescent="0.25">
      <c r="A196" s="1">
        <v>45766</v>
      </c>
      <c r="B196" t="s">
        <v>16</v>
      </c>
      <c r="C196" t="s">
        <v>9</v>
      </c>
      <c r="D196" t="s">
        <v>34</v>
      </c>
      <c r="E196" t="s">
        <v>4</v>
      </c>
      <c r="F196">
        <v>24703</v>
      </c>
      <c r="G196">
        <v>598</v>
      </c>
      <c r="H196">
        <v>709</v>
      </c>
      <c r="I196">
        <v>1422</v>
      </c>
      <c r="J196" t="str">
        <f>IF(Sales_Data[[#This Row],[Forex Rate]]&lt;900,"Below 900",IF(Sales_Data[[#This Row],[Forex Rate]]&lt;1100,"900–1099",IF(Sales_Data[[#This Row],[Forex Rate]]&lt;1300,"1100–1299","1300+")))</f>
        <v>1300+</v>
      </c>
      <c r="K196">
        <v>1098235</v>
      </c>
      <c r="L196">
        <v>17514427</v>
      </c>
      <c r="M196">
        <v>1643798</v>
      </c>
      <c r="N196" t="str">
        <f>IF(Sales_Data[[#This Row],[Profit]]&lt;0,"Loss","Profit")</f>
        <v>Profit</v>
      </c>
      <c r="O196" s="2">
        <v>9.3853941096674207E-2</v>
      </c>
    </row>
    <row r="197" spans="1:15" x14ac:dyDescent="0.25">
      <c r="A197" s="1">
        <v>45837</v>
      </c>
      <c r="B197" t="s">
        <v>19</v>
      </c>
      <c r="C197" t="s">
        <v>3</v>
      </c>
      <c r="D197" t="s">
        <v>35</v>
      </c>
      <c r="E197" t="s">
        <v>11</v>
      </c>
      <c r="F197">
        <v>12374</v>
      </c>
      <c r="G197">
        <v>464</v>
      </c>
      <c r="H197">
        <v>576</v>
      </c>
      <c r="I197">
        <v>1547</v>
      </c>
      <c r="J197" t="str">
        <f>IF(Sales_Data[[#This Row],[Forex Rate]]&lt;900,"Below 900",IF(Sales_Data[[#This Row],[Forex Rate]]&lt;1100,"900–1099",IF(Sales_Data[[#This Row],[Forex Rate]]&lt;1300,"1100–1299","1300+")))</f>
        <v>1300+</v>
      </c>
      <c r="K197">
        <v>630849</v>
      </c>
      <c r="L197">
        <v>7127424</v>
      </c>
      <c r="M197">
        <v>755039</v>
      </c>
      <c r="N197" t="str">
        <f>IF(Sales_Data[[#This Row],[Profit]]&lt;0,"Loss","Profit")</f>
        <v>Profit</v>
      </c>
      <c r="O197" s="2">
        <v>0.10593434598531</v>
      </c>
    </row>
    <row r="198" spans="1:15" x14ac:dyDescent="0.25">
      <c r="A198" s="1">
        <v>45804</v>
      </c>
      <c r="B198" t="s">
        <v>17</v>
      </c>
      <c r="C198" t="s">
        <v>6</v>
      </c>
      <c r="D198" t="s">
        <v>36</v>
      </c>
      <c r="E198" t="s">
        <v>10</v>
      </c>
      <c r="F198">
        <v>16285</v>
      </c>
      <c r="G198">
        <v>595</v>
      </c>
      <c r="H198">
        <v>673</v>
      </c>
      <c r="I198">
        <v>1401</v>
      </c>
      <c r="J198" t="str">
        <f>IF(Sales_Data[[#This Row],[Forex Rate]]&lt;900,"Below 900",IF(Sales_Data[[#This Row],[Forex Rate]]&lt;1100,"900–1099",IF(Sales_Data[[#This Row],[Forex Rate]]&lt;1300,"1100–1299","1300+")))</f>
        <v>1300+</v>
      </c>
      <c r="K198">
        <v>743995</v>
      </c>
      <c r="L198">
        <v>10959805</v>
      </c>
      <c r="M198">
        <v>526235</v>
      </c>
      <c r="N198" t="str">
        <f>IF(Sales_Data[[#This Row],[Profit]]&lt;0,"Loss","Profit")</f>
        <v>Profit</v>
      </c>
      <c r="O198" s="2">
        <v>4.8014996617184301E-2</v>
      </c>
    </row>
    <row r="199" spans="1:15" x14ac:dyDescent="0.25">
      <c r="A199" s="1">
        <v>45663</v>
      </c>
      <c r="B199" t="s">
        <v>18</v>
      </c>
      <c r="C199" t="s">
        <v>6</v>
      </c>
      <c r="D199" t="s">
        <v>35</v>
      </c>
      <c r="E199" t="s">
        <v>7</v>
      </c>
      <c r="F199">
        <v>25378</v>
      </c>
      <c r="G199">
        <v>576</v>
      </c>
      <c r="H199">
        <v>638</v>
      </c>
      <c r="I199">
        <v>1590</v>
      </c>
      <c r="J199" t="str">
        <f>IF(Sales_Data[[#This Row],[Forex Rate]]&lt;900,"Below 900",IF(Sales_Data[[#This Row],[Forex Rate]]&lt;1100,"900–1099",IF(Sales_Data[[#This Row],[Forex Rate]]&lt;1300,"1100–1299","1300+")))</f>
        <v>1300+</v>
      </c>
      <c r="K199">
        <v>1065938</v>
      </c>
      <c r="L199">
        <v>16191164</v>
      </c>
      <c r="M199">
        <v>507498</v>
      </c>
      <c r="N199" t="str">
        <f>IF(Sales_Data[[#This Row],[Profit]]&lt;0,"Loss","Profit")</f>
        <v>Profit</v>
      </c>
      <c r="O199" s="2">
        <v>3.1344133133356003E-2</v>
      </c>
    </row>
    <row r="200" spans="1:15" x14ac:dyDescent="0.25">
      <c r="A200" s="1">
        <v>45812</v>
      </c>
      <c r="B200" t="s">
        <v>19</v>
      </c>
      <c r="C200" t="s">
        <v>6</v>
      </c>
      <c r="D200" t="s">
        <v>36</v>
      </c>
      <c r="E200" t="s">
        <v>10</v>
      </c>
      <c r="F200">
        <v>17316</v>
      </c>
      <c r="G200">
        <v>542</v>
      </c>
      <c r="H200">
        <v>636</v>
      </c>
      <c r="I200">
        <v>1264</v>
      </c>
      <c r="J200" t="str">
        <f>IF(Sales_Data[[#This Row],[Forex Rate]]&lt;900,"Below 900",IF(Sales_Data[[#This Row],[Forex Rate]]&lt;1100,"900–1099",IF(Sales_Data[[#This Row],[Forex Rate]]&lt;1300,"1100–1299","1300+")))</f>
        <v>1100–1299</v>
      </c>
      <c r="K200">
        <v>731413</v>
      </c>
      <c r="L200">
        <v>11012976</v>
      </c>
      <c r="M200">
        <v>896291</v>
      </c>
      <c r="N200" t="str">
        <f>IF(Sales_Data[[#This Row],[Profit]]&lt;0,"Loss","Profit")</f>
        <v>Profit</v>
      </c>
      <c r="O200" s="2">
        <v>8.1384995300089594E-2</v>
      </c>
    </row>
    <row r="201" spans="1:15" x14ac:dyDescent="0.25">
      <c r="A201" s="1">
        <v>45702</v>
      </c>
      <c r="B201" t="s">
        <v>15</v>
      </c>
      <c r="C201" t="s">
        <v>9</v>
      </c>
      <c r="D201" t="s">
        <v>36</v>
      </c>
      <c r="E201" t="s">
        <v>8</v>
      </c>
      <c r="F201">
        <v>18154</v>
      </c>
      <c r="G201">
        <v>435</v>
      </c>
      <c r="H201">
        <v>573</v>
      </c>
      <c r="I201">
        <v>1402</v>
      </c>
      <c r="J201" t="str">
        <f>IF(Sales_Data[[#This Row],[Forex Rate]]&lt;900,"Below 900",IF(Sales_Data[[#This Row],[Forex Rate]]&lt;1100,"900–1099",IF(Sales_Data[[#This Row],[Forex Rate]]&lt;1300,"1100–1299","1300+")))</f>
        <v>1300+</v>
      </c>
      <c r="K201">
        <v>914263</v>
      </c>
      <c r="L201">
        <v>10402242</v>
      </c>
      <c r="M201">
        <v>1590989</v>
      </c>
      <c r="N201" t="str">
        <f>IF(Sales_Data[[#This Row],[Profit]]&lt;0,"Loss","Profit")</f>
        <v>Profit</v>
      </c>
      <c r="O201" s="2">
        <v>0.152946739750911</v>
      </c>
    </row>
    <row r="202" spans="1:15" x14ac:dyDescent="0.25">
      <c r="A202" s="1">
        <v>45703</v>
      </c>
      <c r="B202" t="s">
        <v>15</v>
      </c>
      <c r="C202" t="s">
        <v>6</v>
      </c>
      <c r="D202" t="s">
        <v>35</v>
      </c>
      <c r="E202" t="s">
        <v>7</v>
      </c>
      <c r="F202">
        <v>41132</v>
      </c>
      <c r="G202">
        <v>671</v>
      </c>
      <c r="H202">
        <v>760</v>
      </c>
      <c r="I202">
        <v>1391</v>
      </c>
      <c r="J202" t="str">
        <f>IF(Sales_Data[[#This Row],[Forex Rate]]&lt;900,"Below 900",IF(Sales_Data[[#This Row],[Forex Rate]]&lt;1100,"900–1099",IF(Sales_Data[[#This Row],[Forex Rate]]&lt;1300,"1100–1299","1300+")))</f>
        <v>1300+</v>
      </c>
      <c r="K202">
        <v>1017711</v>
      </c>
      <c r="L202">
        <v>31260320</v>
      </c>
      <c r="M202">
        <v>2643037</v>
      </c>
      <c r="N202" t="str">
        <f>IF(Sales_Data[[#This Row],[Profit]]&lt;0,"Loss","Profit")</f>
        <v>Profit</v>
      </c>
      <c r="O202" s="2">
        <v>8.4549262451568005E-2</v>
      </c>
    </row>
    <row r="203" spans="1:15" x14ac:dyDescent="0.25">
      <c r="A203" s="1">
        <v>45726</v>
      </c>
      <c r="B203" t="s">
        <v>14</v>
      </c>
      <c r="C203" t="s">
        <v>3</v>
      </c>
      <c r="D203" t="s">
        <v>34</v>
      </c>
      <c r="E203" t="s">
        <v>4</v>
      </c>
      <c r="F203">
        <v>24580</v>
      </c>
      <c r="G203">
        <v>601</v>
      </c>
      <c r="H203">
        <v>658</v>
      </c>
      <c r="I203">
        <v>1443</v>
      </c>
      <c r="J203" t="str">
        <f>IF(Sales_Data[[#This Row],[Forex Rate]]&lt;900,"Below 900",IF(Sales_Data[[#This Row],[Forex Rate]]&lt;1100,"900–1099",IF(Sales_Data[[#This Row],[Forex Rate]]&lt;1300,"1100–1299","1300+")))</f>
        <v>1300+</v>
      </c>
      <c r="K203">
        <v>697375</v>
      </c>
      <c r="L203">
        <v>16173640</v>
      </c>
      <c r="M203">
        <v>703685</v>
      </c>
      <c r="N203" t="str">
        <f>IF(Sales_Data[[#This Row],[Profit]]&lt;0,"Loss","Profit")</f>
        <v>Profit</v>
      </c>
      <c r="O203" s="2">
        <v>4.3508140406241298E-2</v>
      </c>
    </row>
    <row r="204" spans="1:15" x14ac:dyDescent="0.25">
      <c r="A204" s="1">
        <v>45747</v>
      </c>
      <c r="B204" t="s">
        <v>14</v>
      </c>
      <c r="C204" t="s">
        <v>6</v>
      </c>
      <c r="D204" t="s">
        <v>35</v>
      </c>
      <c r="E204" t="s">
        <v>7</v>
      </c>
      <c r="F204">
        <v>19300</v>
      </c>
      <c r="G204">
        <v>566</v>
      </c>
      <c r="H204">
        <v>654</v>
      </c>
      <c r="I204">
        <v>1600</v>
      </c>
      <c r="J204" t="str">
        <f>IF(Sales_Data[[#This Row],[Forex Rate]]&lt;900,"Below 900",IF(Sales_Data[[#This Row],[Forex Rate]]&lt;1100,"900–1099",IF(Sales_Data[[#This Row],[Forex Rate]]&lt;1300,"1100–1299","1300+")))</f>
        <v>1300+</v>
      </c>
      <c r="K204">
        <v>649484</v>
      </c>
      <c r="L204">
        <v>12622200</v>
      </c>
      <c r="M204">
        <v>1048916</v>
      </c>
      <c r="N204" t="str">
        <f>IF(Sales_Data[[#This Row],[Profit]]&lt;0,"Loss","Profit")</f>
        <v>Profit</v>
      </c>
      <c r="O204" s="2">
        <v>8.3100885740996E-2</v>
      </c>
    </row>
    <row r="205" spans="1:15" x14ac:dyDescent="0.25">
      <c r="A205" s="1">
        <v>45833</v>
      </c>
      <c r="B205" t="s">
        <v>19</v>
      </c>
      <c r="C205" t="s">
        <v>3</v>
      </c>
      <c r="D205" t="s">
        <v>35</v>
      </c>
      <c r="E205" t="s">
        <v>7</v>
      </c>
      <c r="F205">
        <v>9183</v>
      </c>
      <c r="G205">
        <v>612</v>
      </c>
      <c r="H205">
        <v>770</v>
      </c>
      <c r="I205">
        <v>1275</v>
      </c>
      <c r="J205" t="str">
        <f>IF(Sales_Data[[#This Row],[Forex Rate]]&lt;900,"Below 900",IF(Sales_Data[[#This Row],[Forex Rate]]&lt;1100,"900–1099",IF(Sales_Data[[#This Row],[Forex Rate]]&lt;1300,"1100–1299","1300+")))</f>
        <v>1100–1299</v>
      </c>
      <c r="K205">
        <v>649484</v>
      </c>
      <c r="L205">
        <v>7070910</v>
      </c>
      <c r="M205">
        <v>801430</v>
      </c>
      <c r="N205" t="str">
        <f>IF(Sales_Data[[#This Row],[Profit]]&lt;0,"Loss","Profit")</f>
        <v>Profit</v>
      </c>
      <c r="O205" s="2">
        <v>0.11334184708898901</v>
      </c>
    </row>
    <row r="206" spans="1:15" x14ac:dyDescent="0.25">
      <c r="A206" s="1">
        <v>45832</v>
      </c>
      <c r="B206" t="s">
        <v>19</v>
      </c>
      <c r="C206" t="s">
        <v>6</v>
      </c>
      <c r="D206" t="s">
        <v>36</v>
      </c>
      <c r="E206" t="s">
        <v>10</v>
      </c>
      <c r="F206">
        <v>37595</v>
      </c>
      <c r="G206">
        <v>546</v>
      </c>
      <c r="H206">
        <v>637</v>
      </c>
      <c r="I206">
        <v>1389</v>
      </c>
      <c r="J206" t="str">
        <f>IF(Sales_Data[[#This Row],[Forex Rate]]&lt;900,"Below 900",IF(Sales_Data[[#This Row],[Forex Rate]]&lt;1100,"900–1099",IF(Sales_Data[[#This Row],[Forex Rate]]&lt;1300,"1100–1299","1300+")))</f>
        <v>1300+</v>
      </c>
      <c r="K206">
        <v>869320</v>
      </c>
      <c r="L206">
        <v>23948015</v>
      </c>
      <c r="M206">
        <v>2551825</v>
      </c>
      <c r="N206" t="str">
        <f>IF(Sales_Data[[#This Row],[Profit]]&lt;0,"Loss","Profit")</f>
        <v>Profit</v>
      </c>
      <c r="O206" s="2">
        <v>0.106556848239823</v>
      </c>
    </row>
    <row r="207" spans="1:15" x14ac:dyDescent="0.25">
      <c r="A207" s="1">
        <v>45701</v>
      </c>
      <c r="B207" t="s">
        <v>15</v>
      </c>
      <c r="C207" t="s">
        <v>3</v>
      </c>
      <c r="D207" t="s">
        <v>35</v>
      </c>
      <c r="E207" t="s">
        <v>7</v>
      </c>
      <c r="F207">
        <v>11396</v>
      </c>
      <c r="G207">
        <v>550</v>
      </c>
      <c r="H207">
        <v>637</v>
      </c>
      <c r="I207">
        <v>1391</v>
      </c>
      <c r="J207" t="str">
        <f>IF(Sales_Data[[#This Row],[Forex Rate]]&lt;900,"Below 900",IF(Sales_Data[[#This Row],[Forex Rate]]&lt;1100,"900–1099",IF(Sales_Data[[#This Row],[Forex Rate]]&lt;1300,"1100–1299","1300+")))</f>
        <v>1300+</v>
      </c>
      <c r="K207">
        <v>433049</v>
      </c>
      <c r="L207">
        <v>7259252</v>
      </c>
      <c r="M207">
        <v>558403</v>
      </c>
      <c r="N207" t="str">
        <f>IF(Sales_Data[[#This Row],[Profit]]&lt;0,"Loss","Profit")</f>
        <v>Profit</v>
      </c>
      <c r="O207" s="2">
        <v>7.6922939167837101E-2</v>
      </c>
    </row>
    <row r="208" spans="1:15" x14ac:dyDescent="0.25">
      <c r="A208" s="1">
        <v>45765</v>
      </c>
      <c r="B208" t="s">
        <v>16</v>
      </c>
      <c r="C208" t="s">
        <v>9</v>
      </c>
      <c r="D208" t="s">
        <v>36</v>
      </c>
      <c r="E208" t="s">
        <v>10</v>
      </c>
      <c r="F208">
        <v>23786</v>
      </c>
      <c r="G208">
        <v>675</v>
      </c>
      <c r="H208">
        <v>691</v>
      </c>
      <c r="I208">
        <v>1389</v>
      </c>
      <c r="J208" t="str">
        <f>IF(Sales_Data[[#This Row],[Forex Rate]]&lt;900,"Below 900",IF(Sales_Data[[#This Row],[Forex Rate]]&lt;1100,"900–1099",IF(Sales_Data[[#This Row],[Forex Rate]]&lt;1300,"1100–1299","1300+")))</f>
        <v>1300+</v>
      </c>
      <c r="K208">
        <v>913763</v>
      </c>
      <c r="L208">
        <v>16436126</v>
      </c>
      <c r="M208">
        <v>-533187</v>
      </c>
      <c r="N208" t="str">
        <f>IF(Sales_Data[[#This Row],[Profit]]&lt;0,"Loss","Profit")</f>
        <v>Loss</v>
      </c>
      <c r="O208" s="2">
        <v>-3.2439943573078001E-2</v>
      </c>
    </row>
    <row r="209" spans="1:15" x14ac:dyDescent="0.25">
      <c r="A209" s="1">
        <v>45671</v>
      </c>
      <c r="B209" t="s">
        <v>18</v>
      </c>
      <c r="C209" t="s">
        <v>3</v>
      </c>
      <c r="D209" t="s">
        <v>35</v>
      </c>
      <c r="E209" t="s">
        <v>7</v>
      </c>
      <c r="F209">
        <v>18126</v>
      </c>
      <c r="G209">
        <v>591</v>
      </c>
      <c r="H209">
        <v>617</v>
      </c>
      <c r="I209">
        <v>1400</v>
      </c>
      <c r="J209" t="str">
        <f>IF(Sales_Data[[#This Row],[Forex Rate]]&lt;900,"Below 900",IF(Sales_Data[[#This Row],[Forex Rate]]&lt;1100,"900–1099",IF(Sales_Data[[#This Row],[Forex Rate]]&lt;1300,"1100–1299","1300+")))</f>
        <v>1300+</v>
      </c>
      <c r="K209">
        <v>649484</v>
      </c>
      <c r="L209">
        <v>11183742</v>
      </c>
      <c r="M209">
        <v>-178208</v>
      </c>
      <c r="N209" t="str">
        <f>IF(Sales_Data[[#This Row],[Profit]]&lt;0,"Loss","Profit")</f>
        <v>Loss</v>
      </c>
      <c r="O209" s="2">
        <v>-1.59345592915144E-2</v>
      </c>
    </row>
    <row r="210" spans="1:15" x14ac:dyDescent="0.25">
      <c r="A210" s="1">
        <v>45728</v>
      </c>
      <c r="B210" t="s">
        <v>14</v>
      </c>
      <c r="C210" t="s">
        <v>9</v>
      </c>
      <c r="D210" t="s">
        <v>34</v>
      </c>
      <c r="E210" t="s">
        <v>5</v>
      </c>
      <c r="F210">
        <v>16049</v>
      </c>
      <c r="G210">
        <v>567</v>
      </c>
      <c r="H210">
        <v>645</v>
      </c>
      <c r="I210">
        <v>1586</v>
      </c>
      <c r="J210" t="str">
        <f>IF(Sales_Data[[#This Row],[Forex Rate]]&lt;900,"Below 900",IF(Sales_Data[[#This Row],[Forex Rate]]&lt;1100,"900–1099",IF(Sales_Data[[#This Row],[Forex Rate]]&lt;1300,"1100–1299","1300+")))</f>
        <v>1300+</v>
      </c>
      <c r="K210">
        <v>680425</v>
      </c>
      <c r="L210">
        <v>10351605</v>
      </c>
      <c r="M210">
        <v>571397</v>
      </c>
      <c r="N210" t="str">
        <f>IF(Sales_Data[[#This Row],[Profit]]&lt;0,"Loss","Profit")</f>
        <v>Profit</v>
      </c>
      <c r="O210" s="2">
        <v>5.5198879787240702E-2</v>
      </c>
    </row>
    <row r="211" spans="1:15" x14ac:dyDescent="0.25">
      <c r="A211" s="1">
        <v>45661</v>
      </c>
      <c r="B211" t="s">
        <v>18</v>
      </c>
      <c r="C211" t="s">
        <v>9</v>
      </c>
      <c r="D211" t="s">
        <v>36</v>
      </c>
      <c r="E211" t="s">
        <v>10</v>
      </c>
      <c r="F211">
        <v>39801</v>
      </c>
      <c r="G211">
        <v>623</v>
      </c>
      <c r="H211">
        <v>845</v>
      </c>
      <c r="I211">
        <v>1400</v>
      </c>
      <c r="J211" t="str">
        <f>IF(Sales_Data[[#This Row],[Forex Rate]]&lt;900,"Below 900",IF(Sales_Data[[#This Row],[Forex Rate]]&lt;1100,"900–1099",IF(Sales_Data[[#This Row],[Forex Rate]]&lt;1300,"1100–1299","1300+")))</f>
        <v>1300+</v>
      </c>
      <c r="K211">
        <v>520984</v>
      </c>
      <c r="L211">
        <v>33631845</v>
      </c>
      <c r="M211">
        <v>8314838</v>
      </c>
      <c r="N211" t="str">
        <f>IF(Sales_Data[[#This Row],[Profit]]&lt;0,"Loss","Profit")</f>
        <v>Profit</v>
      </c>
      <c r="O211" s="2">
        <v>0.24723109897776899</v>
      </c>
    </row>
    <row r="212" spans="1:15" x14ac:dyDescent="0.25">
      <c r="A212" s="1">
        <v>45774</v>
      </c>
      <c r="B212" t="s">
        <v>16</v>
      </c>
      <c r="C212" t="s">
        <v>9</v>
      </c>
      <c r="D212" t="s">
        <v>35</v>
      </c>
      <c r="E212" t="s">
        <v>7</v>
      </c>
      <c r="F212">
        <v>13768</v>
      </c>
      <c r="G212">
        <v>719</v>
      </c>
      <c r="H212">
        <v>858</v>
      </c>
      <c r="I212">
        <v>1208</v>
      </c>
      <c r="J212" t="str">
        <f>IF(Sales_Data[[#This Row],[Forex Rate]]&lt;900,"Below 900",IF(Sales_Data[[#This Row],[Forex Rate]]&lt;1100,"900–1099",IF(Sales_Data[[#This Row],[Forex Rate]]&lt;1300,"1100–1299","1300+")))</f>
        <v>1100–1299</v>
      </c>
      <c r="K212">
        <v>421449</v>
      </c>
      <c r="L212">
        <v>11812944</v>
      </c>
      <c r="M212">
        <v>1492303</v>
      </c>
      <c r="N212" t="str">
        <f>IF(Sales_Data[[#This Row],[Profit]]&lt;0,"Loss","Profit")</f>
        <v>Profit</v>
      </c>
      <c r="O212" s="2">
        <v>0.12632778078013401</v>
      </c>
    </row>
    <row r="213" spans="1:15" x14ac:dyDescent="0.25">
      <c r="A213" s="1">
        <v>45689</v>
      </c>
      <c r="B213" t="s">
        <v>15</v>
      </c>
      <c r="C213" t="s">
        <v>3</v>
      </c>
      <c r="D213" t="s">
        <v>36</v>
      </c>
      <c r="E213" t="s">
        <v>8</v>
      </c>
      <c r="F213">
        <v>26124</v>
      </c>
      <c r="G213">
        <v>497</v>
      </c>
      <c r="H213">
        <v>572</v>
      </c>
      <c r="I213">
        <v>1391</v>
      </c>
      <c r="J213" t="str">
        <f>IF(Sales_Data[[#This Row],[Forex Rate]]&lt;900,"Below 900",IF(Sales_Data[[#This Row],[Forex Rate]]&lt;1100,"900–1099",IF(Sales_Data[[#This Row],[Forex Rate]]&lt;1300,"1100–1299","1300+")))</f>
        <v>1300+</v>
      </c>
      <c r="K213">
        <v>637020</v>
      </c>
      <c r="L213">
        <v>14942928</v>
      </c>
      <c r="M213">
        <v>1322280</v>
      </c>
      <c r="N213" t="str">
        <f>IF(Sales_Data[[#This Row],[Profit]]&lt;0,"Loss","Profit")</f>
        <v>Profit</v>
      </c>
      <c r="O213" s="2">
        <v>8.8488681736270197E-2</v>
      </c>
    </row>
    <row r="214" spans="1:15" x14ac:dyDescent="0.25">
      <c r="A214" s="1">
        <v>45779</v>
      </c>
      <c r="B214" t="s">
        <v>17</v>
      </c>
      <c r="C214" t="s">
        <v>6</v>
      </c>
      <c r="D214" t="s">
        <v>34</v>
      </c>
      <c r="E214" t="s">
        <v>5</v>
      </c>
      <c r="F214">
        <v>5609</v>
      </c>
      <c r="G214">
        <v>595</v>
      </c>
      <c r="H214">
        <v>673</v>
      </c>
      <c r="I214">
        <v>1401</v>
      </c>
      <c r="J214" t="str">
        <f>IF(Sales_Data[[#This Row],[Forex Rate]]&lt;900,"Below 900",IF(Sales_Data[[#This Row],[Forex Rate]]&lt;1100,"900–1099",IF(Sales_Data[[#This Row],[Forex Rate]]&lt;1300,"1100–1299","1300+")))</f>
        <v>1300+</v>
      </c>
      <c r="K214">
        <v>953681</v>
      </c>
      <c r="L214">
        <v>3774857</v>
      </c>
      <c r="M214">
        <v>-516179</v>
      </c>
      <c r="N214" t="str">
        <f>IF(Sales_Data[[#This Row],[Profit]]&lt;0,"Loss","Profit")</f>
        <v>Loss</v>
      </c>
      <c r="O214" s="2">
        <v>-0.13674133881098</v>
      </c>
    </row>
    <row r="215" spans="1:15" x14ac:dyDescent="0.25">
      <c r="A215" s="1">
        <v>45785</v>
      </c>
      <c r="B215" t="s">
        <v>17</v>
      </c>
      <c r="C215" t="s">
        <v>6</v>
      </c>
      <c r="D215" t="s">
        <v>34</v>
      </c>
      <c r="E215" t="s">
        <v>4</v>
      </c>
      <c r="F215">
        <v>18090</v>
      </c>
      <c r="G215">
        <v>712</v>
      </c>
      <c r="H215">
        <v>799</v>
      </c>
      <c r="I215">
        <v>1401</v>
      </c>
      <c r="J215" t="str">
        <f>IF(Sales_Data[[#This Row],[Forex Rate]]&lt;900,"Below 900",IF(Sales_Data[[#This Row],[Forex Rate]]&lt;1100,"900–1099",IF(Sales_Data[[#This Row],[Forex Rate]]&lt;1300,"1100–1299","1300+")))</f>
        <v>1300+</v>
      </c>
      <c r="K215">
        <v>704012</v>
      </c>
      <c r="L215">
        <v>14453910</v>
      </c>
      <c r="M215">
        <v>869818</v>
      </c>
      <c r="N215" t="str">
        <f>IF(Sales_Data[[#This Row],[Profit]]&lt;0,"Loss","Profit")</f>
        <v>Profit</v>
      </c>
      <c r="O215" s="2">
        <v>6.0178733643699203E-2</v>
      </c>
    </row>
    <row r="216" spans="1:15" x14ac:dyDescent="0.25">
      <c r="A216" s="1">
        <v>45829</v>
      </c>
      <c r="B216" t="s">
        <v>19</v>
      </c>
      <c r="C216" t="s">
        <v>9</v>
      </c>
      <c r="D216" t="s">
        <v>34</v>
      </c>
      <c r="E216" t="s">
        <v>4</v>
      </c>
      <c r="F216">
        <v>24703</v>
      </c>
      <c r="G216">
        <v>579</v>
      </c>
      <c r="H216">
        <v>651</v>
      </c>
      <c r="I216">
        <v>1458</v>
      </c>
      <c r="J216" t="str">
        <f>IF(Sales_Data[[#This Row],[Forex Rate]]&lt;900,"Below 900",IF(Sales_Data[[#This Row],[Forex Rate]]&lt;1100,"900–1099",IF(Sales_Data[[#This Row],[Forex Rate]]&lt;1300,"1100–1299","1300+")))</f>
        <v>1300+</v>
      </c>
      <c r="K216">
        <v>476955</v>
      </c>
      <c r="L216">
        <v>16081653</v>
      </c>
      <c r="M216">
        <v>1301661</v>
      </c>
      <c r="N216" t="str">
        <f>IF(Sales_Data[[#This Row],[Profit]]&lt;0,"Loss","Profit")</f>
        <v>Profit</v>
      </c>
      <c r="O216" s="2">
        <v>8.0940746576238107E-2</v>
      </c>
    </row>
    <row r="217" spans="1:15" x14ac:dyDescent="0.25">
      <c r="A217" s="1">
        <v>45668</v>
      </c>
      <c r="B217" t="s">
        <v>18</v>
      </c>
      <c r="C217" t="s">
        <v>9</v>
      </c>
      <c r="D217" t="s">
        <v>34</v>
      </c>
      <c r="E217" t="s">
        <v>4</v>
      </c>
      <c r="F217">
        <v>25493</v>
      </c>
      <c r="G217">
        <v>642</v>
      </c>
      <c r="H217">
        <v>653</v>
      </c>
      <c r="I217">
        <v>1400</v>
      </c>
      <c r="J217" t="str">
        <f>IF(Sales_Data[[#This Row],[Forex Rate]]&lt;900,"Below 900",IF(Sales_Data[[#This Row],[Forex Rate]]&lt;1100,"900–1099",IF(Sales_Data[[#This Row],[Forex Rate]]&lt;1300,"1100–1299","1300+")))</f>
        <v>1300+</v>
      </c>
      <c r="K217">
        <v>697375</v>
      </c>
      <c r="L217">
        <v>16646929</v>
      </c>
      <c r="M217">
        <v>-416952</v>
      </c>
      <c r="N217" t="str">
        <f>IF(Sales_Data[[#This Row],[Profit]]&lt;0,"Loss","Profit")</f>
        <v>Loss</v>
      </c>
      <c r="O217" s="2">
        <v>-2.5046781901935201E-2</v>
      </c>
    </row>
    <row r="218" spans="1:15" x14ac:dyDescent="0.25">
      <c r="A218" s="1">
        <v>45704</v>
      </c>
      <c r="B218" t="s">
        <v>15</v>
      </c>
      <c r="C218" t="s">
        <v>9</v>
      </c>
      <c r="D218" t="s">
        <v>35</v>
      </c>
      <c r="E218" t="s">
        <v>7</v>
      </c>
      <c r="F218">
        <v>31230</v>
      </c>
      <c r="G218">
        <v>536</v>
      </c>
      <c r="H218">
        <v>634</v>
      </c>
      <c r="I218">
        <v>1245</v>
      </c>
      <c r="J218" t="str">
        <f>IF(Sales_Data[[#This Row],[Forex Rate]]&lt;900,"Below 900",IF(Sales_Data[[#This Row],[Forex Rate]]&lt;1100,"900–1099",IF(Sales_Data[[#This Row],[Forex Rate]]&lt;1300,"1100–1299","1300+")))</f>
        <v>1100–1299</v>
      </c>
      <c r="K218">
        <v>1188248</v>
      </c>
      <c r="L218">
        <v>19799820</v>
      </c>
      <c r="M218">
        <v>1872292</v>
      </c>
      <c r="N218" t="str">
        <f>IF(Sales_Data[[#This Row],[Profit]]&lt;0,"Loss","Profit")</f>
        <v>Profit</v>
      </c>
      <c r="O218" s="2">
        <v>9.4561061666217194E-2</v>
      </c>
    </row>
    <row r="219" spans="1:15" x14ac:dyDescent="0.25">
      <c r="A219" s="1">
        <v>45803</v>
      </c>
      <c r="B219" t="s">
        <v>17</v>
      </c>
      <c r="C219" t="s">
        <v>9</v>
      </c>
      <c r="D219" t="s">
        <v>35</v>
      </c>
      <c r="E219" t="s">
        <v>7</v>
      </c>
      <c r="F219">
        <v>29887</v>
      </c>
      <c r="G219">
        <v>563</v>
      </c>
      <c r="H219">
        <v>598</v>
      </c>
      <c r="I219">
        <v>1395</v>
      </c>
      <c r="J219" t="str">
        <f>IF(Sales_Data[[#This Row],[Forex Rate]]&lt;900,"Below 900",IF(Sales_Data[[#This Row],[Forex Rate]]&lt;1100,"900–1099",IF(Sales_Data[[#This Row],[Forex Rate]]&lt;1300,"1100–1299","1300+")))</f>
        <v>1300+</v>
      </c>
      <c r="K219">
        <v>662094</v>
      </c>
      <c r="L219">
        <v>17872426</v>
      </c>
      <c r="M219">
        <v>383951</v>
      </c>
      <c r="N219" t="str">
        <f>IF(Sales_Data[[#This Row],[Profit]]&lt;0,"Loss","Profit")</f>
        <v>Profit</v>
      </c>
      <c r="O219" s="2">
        <v>2.1482869757021201E-2</v>
      </c>
    </row>
    <row r="220" spans="1:15" x14ac:dyDescent="0.25">
      <c r="A220" s="1">
        <v>45661</v>
      </c>
      <c r="B220" t="s">
        <v>18</v>
      </c>
      <c r="C220" t="s">
        <v>6</v>
      </c>
      <c r="D220" t="s">
        <v>36</v>
      </c>
      <c r="E220" t="s">
        <v>10</v>
      </c>
      <c r="F220">
        <v>27381</v>
      </c>
      <c r="G220">
        <v>606</v>
      </c>
      <c r="H220">
        <v>562</v>
      </c>
      <c r="I220">
        <v>1465</v>
      </c>
      <c r="J220" t="str">
        <f>IF(Sales_Data[[#This Row],[Forex Rate]]&lt;900,"Below 900",IF(Sales_Data[[#This Row],[Forex Rate]]&lt;1100,"900–1099",IF(Sales_Data[[#This Row],[Forex Rate]]&lt;1300,"1100–1299","1300+")))</f>
        <v>1300+</v>
      </c>
      <c r="K220">
        <v>743995</v>
      </c>
      <c r="L220">
        <v>15388122</v>
      </c>
      <c r="M220">
        <v>-1948759</v>
      </c>
      <c r="N220" t="str">
        <f>IF(Sales_Data[[#This Row],[Profit]]&lt;0,"Loss","Profit")</f>
        <v>Loss</v>
      </c>
      <c r="O220" s="2">
        <v>-0.12664046983770999</v>
      </c>
    </row>
    <row r="221" spans="1:15" x14ac:dyDescent="0.25">
      <c r="A221" s="1">
        <v>45822</v>
      </c>
      <c r="B221" t="s">
        <v>19</v>
      </c>
      <c r="C221" t="s">
        <v>3</v>
      </c>
      <c r="D221" t="s">
        <v>34</v>
      </c>
      <c r="E221" t="s">
        <v>4</v>
      </c>
      <c r="F221">
        <v>35755</v>
      </c>
      <c r="G221">
        <v>442</v>
      </c>
      <c r="H221">
        <v>599</v>
      </c>
      <c r="I221">
        <v>1389</v>
      </c>
      <c r="J221" t="str">
        <f>IF(Sales_Data[[#This Row],[Forex Rate]]&lt;900,"Below 900",IF(Sales_Data[[#This Row],[Forex Rate]]&lt;1100,"900–1099",IF(Sales_Data[[#This Row],[Forex Rate]]&lt;1300,"1100–1299","1300+")))</f>
        <v>1300+</v>
      </c>
      <c r="K221">
        <v>597030</v>
      </c>
      <c r="L221">
        <v>21417245</v>
      </c>
      <c r="M221">
        <v>5016505</v>
      </c>
      <c r="N221" t="str">
        <f>IF(Sales_Data[[#This Row],[Profit]]&lt;0,"Loss","Profit")</f>
        <v>Profit</v>
      </c>
      <c r="O221" s="2">
        <v>0.234227371447635</v>
      </c>
    </row>
    <row r="222" spans="1:15" x14ac:dyDescent="0.25">
      <c r="A222" s="1">
        <v>45804</v>
      </c>
      <c r="B222" t="s">
        <v>17</v>
      </c>
      <c r="C222" t="s">
        <v>9</v>
      </c>
      <c r="D222" t="s">
        <v>35</v>
      </c>
      <c r="E222" t="s">
        <v>7</v>
      </c>
      <c r="F222">
        <v>37666</v>
      </c>
      <c r="G222">
        <v>563</v>
      </c>
      <c r="H222">
        <v>598</v>
      </c>
      <c r="I222">
        <v>1401</v>
      </c>
      <c r="J222" t="str">
        <f>IF(Sales_Data[[#This Row],[Forex Rate]]&lt;900,"Below 900",IF(Sales_Data[[#This Row],[Forex Rate]]&lt;1100,"900–1099",IF(Sales_Data[[#This Row],[Forex Rate]]&lt;1300,"1100–1299","1300+")))</f>
        <v>1300+</v>
      </c>
      <c r="K222">
        <v>200177</v>
      </c>
      <c r="L222">
        <v>22524268</v>
      </c>
      <c r="M222">
        <v>1118133</v>
      </c>
      <c r="N222" t="str">
        <f>IF(Sales_Data[[#This Row],[Profit]]&lt;0,"Loss","Profit")</f>
        <v>Profit</v>
      </c>
      <c r="O222" s="2">
        <v>4.9641258042214698E-2</v>
      </c>
    </row>
    <row r="223" spans="1:15" x14ac:dyDescent="0.25">
      <c r="A223" s="1">
        <v>45788</v>
      </c>
      <c r="B223" t="s">
        <v>17</v>
      </c>
      <c r="C223" t="s">
        <v>3</v>
      </c>
      <c r="D223" t="s">
        <v>36</v>
      </c>
      <c r="E223" t="s">
        <v>10</v>
      </c>
      <c r="F223">
        <v>27338</v>
      </c>
      <c r="G223">
        <v>665</v>
      </c>
      <c r="H223">
        <v>795</v>
      </c>
      <c r="I223">
        <v>1345</v>
      </c>
      <c r="J223" t="str">
        <f>IF(Sales_Data[[#This Row],[Forex Rate]]&lt;900,"Below 900",IF(Sales_Data[[#This Row],[Forex Rate]]&lt;1100,"900–1099",IF(Sales_Data[[#This Row],[Forex Rate]]&lt;1300,"1100–1299","1300+")))</f>
        <v>1300+</v>
      </c>
      <c r="K223">
        <v>743995</v>
      </c>
      <c r="L223">
        <v>21733710</v>
      </c>
      <c r="M223">
        <v>2809945</v>
      </c>
      <c r="N223" t="str">
        <f>IF(Sales_Data[[#This Row],[Profit]]&lt;0,"Loss","Profit")</f>
        <v>Profit</v>
      </c>
      <c r="O223" s="2">
        <v>0.129289707095567</v>
      </c>
    </row>
    <row r="224" spans="1:15" x14ac:dyDescent="0.25">
      <c r="A224" s="1">
        <v>45748</v>
      </c>
      <c r="B224" t="s">
        <v>16</v>
      </c>
      <c r="C224" t="s">
        <v>9</v>
      </c>
      <c r="D224" t="s">
        <v>34</v>
      </c>
      <c r="E224" t="s">
        <v>5</v>
      </c>
      <c r="F224">
        <v>39208</v>
      </c>
      <c r="G224">
        <v>631</v>
      </c>
      <c r="H224">
        <v>820</v>
      </c>
      <c r="I224">
        <v>1243</v>
      </c>
      <c r="J224" t="str">
        <f>IF(Sales_Data[[#This Row],[Forex Rate]]&lt;900,"Below 900",IF(Sales_Data[[#This Row],[Forex Rate]]&lt;1100,"900–1099",IF(Sales_Data[[#This Row],[Forex Rate]]&lt;1300,"1100–1299","1300+")))</f>
        <v>1100–1299</v>
      </c>
      <c r="K224">
        <v>1175402</v>
      </c>
      <c r="L224">
        <v>32150560</v>
      </c>
      <c r="M224">
        <v>6234910</v>
      </c>
      <c r="N224" t="str">
        <f>IF(Sales_Data[[#This Row],[Profit]]&lt;0,"Loss","Profit")</f>
        <v>Profit</v>
      </c>
      <c r="O224" s="2">
        <v>0.19392850388920099</v>
      </c>
    </row>
    <row r="225" spans="1:15" x14ac:dyDescent="0.25">
      <c r="A225" s="1">
        <v>45744</v>
      </c>
      <c r="B225" t="s">
        <v>14</v>
      </c>
      <c r="C225" t="s">
        <v>9</v>
      </c>
      <c r="D225" t="s">
        <v>35</v>
      </c>
      <c r="E225" t="s">
        <v>11</v>
      </c>
      <c r="F225">
        <v>22371</v>
      </c>
      <c r="G225">
        <v>597</v>
      </c>
      <c r="H225">
        <v>657</v>
      </c>
      <c r="I225">
        <v>1405</v>
      </c>
      <c r="J225" t="str">
        <f>IF(Sales_Data[[#This Row],[Forex Rate]]&lt;900,"Below 900",IF(Sales_Data[[#This Row],[Forex Rate]]&lt;1100,"900–1099",IF(Sales_Data[[#This Row],[Forex Rate]]&lt;1300,"1100–1299","1300+")))</f>
        <v>1300+</v>
      </c>
      <c r="K225">
        <v>780099</v>
      </c>
      <c r="L225">
        <v>14697747</v>
      </c>
      <c r="M225">
        <v>562161</v>
      </c>
      <c r="N225" t="str">
        <f>IF(Sales_Data[[#This Row],[Profit]]&lt;0,"Loss","Profit")</f>
        <v>Profit</v>
      </c>
      <c r="O225" s="2">
        <v>3.8248107005787998E-2</v>
      </c>
    </row>
    <row r="226" spans="1:15" x14ac:dyDescent="0.25">
      <c r="A226" s="1">
        <v>45835</v>
      </c>
      <c r="B226" t="s">
        <v>19</v>
      </c>
      <c r="C226" t="s">
        <v>3</v>
      </c>
      <c r="D226" t="s">
        <v>35</v>
      </c>
      <c r="E226" t="s">
        <v>11</v>
      </c>
      <c r="F226">
        <v>11786</v>
      </c>
      <c r="G226">
        <v>602</v>
      </c>
      <c r="H226">
        <v>667</v>
      </c>
      <c r="I226">
        <v>1585</v>
      </c>
      <c r="J226" t="str">
        <f>IF(Sales_Data[[#This Row],[Forex Rate]]&lt;900,"Below 900",IF(Sales_Data[[#This Row],[Forex Rate]]&lt;1100,"900–1099",IF(Sales_Data[[#This Row],[Forex Rate]]&lt;1300,"1100–1299","1300+")))</f>
        <v>1300+</v>
      </c>
      <c r="K226">
        <v>674843</v>
      </c>
      <c r="L226">
        <v>7861262</v>
      </c>
      <c r="M226">
        <v>91247</v>
      </c>
      <c r="N226" t="str">
        <f>IF(Sales_Data[[#This Row],[Profit]]&lt;0,"Loss","Profit")</f>
        <v>Profit</v>
      </c>
      <c r="O226" s="2">
        <v>1.16071694341188E-2</v>
      </c>
    </row>
    <row r="227" spans="1:15" x14ac:dyDescent="0.25">
      <c r="A227" s="1">
        <v>45837</v>
      </c>
      <c r="B227" t="s">
        <v>19</v>
      </c>
      <c r="C227" t="s">
        <v>9</v>
      </c>
      <c r="D227" t="s">
        <v>35</v>
      </c>
      <c r="E227" t="s">
        <v>7</v>
      </c>
      <c r="F227">
        <v>41279</v>
      </c>
      <c r="G227">
        <v>579</v>
      </c>
      <c r="H227">
        <v>651</v>
      </c>
      <c r="I227">
        <v>1593</v>
      </c>
      <c r="J227" t="str">
        <f>IF(Sales_Data[[#This Row],[Forex Rate]]&lt;900,"Below 900",IF(Sales_Data[[#This Row],[Forex Rate]]&lt;1100,"900–1099",IF(Sales_Data[[#This Row],[Forex Rate]]&lt;1300,"1100–1299","1300+")))</f>
        <v>1300+</v>
      </c>
      <c r="K227">
        <v>649484</v>
      </c>
      <c r="L227">
        <v>26872629</v>
      </c>
      <c r="M227">
        <v>2322604</v>
      </c>
      <c r="N227" t="str">
        <f>IF(Sales_Data[[#This Row],[Profit]]&lt;0,"Loss","Profit")</f>
        <v>Profit</v>
      </c>
      <c r="O227" s="2">
        <v>8.6430099563388402E-2</v>
      </c>
    </row>
    <row r="228" spans="1:15" x14ac:dyDescent="0.25">
      <c r="A228" s="1">
        <v>45748</v>
      </c>
      <c r="B228" t="s">
        <v>16</v>
      </c>
      <c r="C228" t="s">
        <v>3</v>
      </c>
      <c r="D228" t="s">
        <v>35</v>
      </c>
      <c r="E228" t="s">
        <v>11</v>
      </c>
      <c r="F228">
        <v>24418</v>
      </c>
      <c r="G228">
        <v>567</v>
      </c>
      <c r="H228">
        <v>579</v>
      </c>
      <c r="I228">
        <v>1523</v>
      </c>
      <c r="J228" t="str">
        <f>IF(Sales_Data[[#This Row],[Forex Rate]]&lt;900,"Below 900",IF(Sales_Data[[#This Row],[Forex Rate]]&lt;1100,"900–1099",IF(Sales_Data[[#This Row],[Forex Rate]]&lt;1300,"1100–1299","1300+")))</f>
        <v>1300+</v>
      </c>
      <c r="K228">
        <v>599371</v>
      </c>
      <c r="L228">
        <v>14138022</v>
      </c>
      <c r="M228">
        <v>-306355</v>
      </c>
      <c r="N228" t="str">
        <f>IF(Sales_Data[[#This Row],[Profit]]&lt;0,"Loss","Profit")</f>
        <v>Loss</v>
      </c>
      <c r="O228" s="2">
        <v>-2.16688727744235E-2</v>
      </c>
    </row>
    <row r="229" spans="1:15" x14ac:dyDescent="0.25">
      <c r="A229" s="1">
        <v>45726</v>
      </c>
      <c r="B229" t="s">
        <v>14</v>
      </c>
      <c r="C229" t="s">
        <v>3</v>
      </c>
      <c r="D229" t="s">
        <v>34</v>
      </c>
      <c r="E229" t="s">
        <v>4</v>
      </c>
      <c r="F229">
        <v>23783</v>
      </c>
      <c r="G229">
        <v>627</v>
      </c>
      <c r="H229">
        <v>694</v>
      </c>
      <c r="I229">
        <v>1405</v>
      </c>
      <c r="J229" t="str">
        <f>IF(Sales_Data[[#This Row],[Forex Rate]]&lt;900,"Below 900",IF(Sales_Data[[#This Row],[Forex Rate]]&lt;1100,"900–1099",IF(Sales_Data[[#This Row],[Forex Rate]]&lt;1300,"1100–1299","1300+")))</f>
        <v>1300+</v>
      </c>
      <c r="K229">
        <v>975414</v>
      </c>
      <c r="L229">
        <v>16505402</v>
      </c>
      <c r="M229">
        <v>618047</v>
      </c>
      <c r="N229" t="str">
        <f>IF(Sales_Data[[#This Row],[Profit]]&lt;0,"Loss","Profit")</f>
        <v>Profit</v>
      </c>
      <c r="O229" s="2">
        <v>3.7445134629256499E-2</v>
      </c>
    </row>
    <row r="230" spans="1:15" x14ac:dyDescent="0.25">
      <c r="A230" s="1">
        <v>45718</v>
      </c>
      <c r="B230" t="s">
        <v>14</v>
      </c>
      <c r="C230" t="s">
        <v>3</v>
      </c>
      <c r="D230" t="s">
        <v>36</v>
      </c>
      <c r="E230" t="s">
        <v>10</v>
      </c>
      <c r="F230">
        <v>30007</v>
      </c>
      <c r="G230">
        <v>601</v>
      </c>
      <c r="H230">
        <v>658</v>
      </c>
      <c r="I230">
        <v>1405</v>
      </c>
      <c r="J230" t="str">
        <f>IF(Sales_Data[[#This Row],[Forex Rate]]&lt;900,"Below 900",IF(Sales_Data[[#This Row],[Forex Rate]]&lt;1100,"900–1099",IF(Sales_Data[[#This Row],[Forex Rate]]&lt;1300,"1100–1299","1300+")))</f>
        <v>1300+</v>
      </c>
      <c r="K230">
        <v>1018859</v>
      </c>
      <c r="L230">
        <v>19744606</v>
      </c>
      <c r="M230">
        <v>691540</v>
      </c>
      <c r="N230" t="str">
        <f>IF(Sales_Data[[#This Row],[Profit]]&lt;0,"Loss","Profit")</f>
        <v>Profit</v>
      </c>
      <c r="O230" s="2">
        <v>3.5024249154427298E-2</v>
      </c>
    </row>
    <row r="231" spans="1:15" x14ac:dyDescent="0.25">
      <c r="A231" s="1">
        <v>45808</v>
      </c>
      <c r="B231" t="s">
        <v>17</v>
      </c>
      <c r="C231" t="s">
        <v>9</v>
      </c>
      <c r="D231" t="s">
        <v>36</v>
      </c>
      <c r="E231" t="s">
        <v>10</v>
      </c>
      <c r="F231">
        <v>24279</v>
      </c>
      <c r="G231">
        <v>473</v>
      </c>
      <c r="H231">
        <v>589</v>
      </c>
      <c r="I231">
        <v>1401</v>
      </c>
      <c r="J231" t="str">
        <f>IF(Sales_Data[[#This Row],[Forex Rate]]&lt;900,"Below 900",IF(Sales_Data[[#This Row],[Forex Rate]]&lt;1100,"900–1099",IF(Sales_Data[[#This Row],[Forex Rate]]&lt;1300,"1100–1299","1300+")))</f>
        <v>1300+</v>
      </c>
      <c r="K231">
        <v>477075</v>
      </c>
      <c r="L231">
        <v>14300331</v>
      </c>
      <c r="M231">
        <v>2339289</v>
      </c>
      <c r="N231" t="str">
        <f>IF(Sales_Data[[#This Row],[Profit]]&lt;0,"Loss","Profit")</f>
        <v>Profit</v>
      </c>
      <c r="O231" s="2">
        <v>0.16358285692827701</v>
      </c>
    </row>
    <row r="232" spans="1:15" x14ac:dyDescent="0.25">
      <c r="A232" s="1">
        <v>45742</v>
      </c>
      <c r="B232" t="s">
        <v>14</v>
      </c>
      <c r="C232" t="s">
        <v>3</v>
      </c>
      <c r="D232" t="s">
        <v>35</v>
      </c>
      <c r="E232" t="s">
        <v>11</v>
      </c>
      <c r="F232">
        <v>15145</v>
      </c>
      <c r="G232">
        <v>601</v>
      </c>
      <c r="H232">
        <v>727</v>
      </c>
      <c r="I232">
        <v>1429</v>
      </c>
      <c r="J232" t="str">
        <f>IF(Sales_Data[[#This Row],[Forex Rate]]&lt;900,"Below 900",IF(Sales_Data[[#This Row],[Forex Rate]]&lt;1100,"900–1099",IF(Sales_Data[[#This Row],[Forex Rate]]&lt;1300,"1100–1299","1300+")))</f>
        <v>1300+</v>
      </c>
      <c r="K232">
        <v>642323</v>
      </c>
      <c r="L232">
        <v>11010415</v>
      </c>
      <c r="M232">
        <v>1265947</v>
      </c>
      <c r="N232" t="str">
        <f>IF(Sales_Data[[#This Row],[Profit]]&lt;0,"Loss","Profit")</f>
        <v>Profit</v>
      </c>
      <c r="O232" s="2">
        <v>0.114977228378767</v>
      </c>
    </row>
    <row r="233" spans="1:15" x14ac:dyDescent="0.25">
      <c r="A233" s="1">
        <v>45705</v>
      </c>
      <c r="B233" t="s">
        <v>15</v>
      </c>
      <c r="C233" t="s">
        <v>6</v>
      </c>
      <c r="D233" t="s">
        <v>36</v>
      </c>
      <c r="E233" t="s">
        <v>8</v>
      </c>
      <c r="F233">
        <v>15444</v>
      </c>
      <c r="G233">
        <v>541</v>
      </c>
      <c r="H233">
        <v>546</v>
      </c>
      <c r="I233">
        <v>1391</v>
      </c>
      <c r="J233" t="str">
        <f>IF(Sales_Data[[#This Row],[Forex Rate]]&lt;900,"Below 900",IF(Sales_Data[[#This Row],[Forex Rate]]&lt;1100,"900–1099",IF(Sales_Data[[#This Row],[Forex Rate]]&lt;1300,"1100–1299","1300+")))</f>
        <v>1300+</v>
      </c>
      <c r="K233">
        <v>675852</v>
      </c>
      <c r="L233">
        <v>8432424</v>
      </c>
      <c r="M233">
        <v>-598632</v>
      </c>
      <c r="N233" t="str">
        <f>IF(Sales_Data[[#This Row],[Profit]]&lt;0,"Loss","Profit")</f>
        <v>Loss</v>
      </c>
      <c r="O233" s="2">
        <v>-7.0991686376301794E-2</v>
      </c>
    </row>
    <row r="234" spans="1:15" x14ac:dyDescent="0.25">
      <c r="A234" s="1">
        <v>45829</v>
      </c>
      <c r="B234" t="s">
        <v>19</v>
      </c>
      <c r="C234" t="s">
        <v>3</v>
      </c>
      <c r="D234" t="s">
        <v>34</v>
      </c>
      <c r="E234" t="s">
        <v>4</v>
      </c>
      <c r="F234">
        <v>24580</v>
      </c>
      <c r="G234">
        <v>604</v>
      </c>
      <c r="H234">
        <v>689</v>
      </c>
      <c r="I234">
        <v>1416</v>
      </c>
      <c r="J234" t="str">
        <f>IF(Sales_Data[[#This Row],[Forex Rate]]&lt;900,"Below 900",IF(Sales_Data[[#This Row],[Forex Rate]]&lt;1100,"900–1099",IF(Sales_Data[[#This Row],[Forex Rate]]&lt;1300,"1100–1299","1300+")))</f>
        <v>1300+</v>
      </c>
      <c r="K234">
        <v>697375</v>
      </c>
      <c r="L234">
        <v>16935620</v>
      </c>
      <c r="M234">
        <v>1391925</v>
      </c>
      <c r="N234" t="str">
        <f>IF(Sales_Data[[#This Row],[Profit]]&lt;0,"Loss","Profit")</f>
        <v>Profit</v>
      </c>
      <c r="O234" s="2">
        <v>8.2189196498268099E-2</v>
      </c>
    </row>
    <row r="235" spans="1:15" x14ac:dyDescent="0.25">
      <c r="A235" s="1">
        <v>45782</v>
      </c>
      <c r="B235" t="s">
        <v>17</v>
      </c>
      <c r="C235" t="s">
        <v>6</v>
      </c>
      <c r="D235" t="s">
        <v>36</v>
      </c>
      <c r="E235" t="s">
        <v>10</v>
      </c>
      <c r="F235">
        <v>17616</v>
      </c>
      <c r="G235">
        <v>574</v>
      </c>
      <c r="H235">
        <v>691</v>
      </c>
      <c r="I235">
        <v>1401</v>
      </c>
      <c r="J235" t="str">
        <f>IF(Sales_Data[[#This Row],[Forex Rate]]&lt;900,"Below 900",IF(Sales_Data[[#This Row],[Forex Rate]]&lt;1100,"900–1099",IF(Sales_Data[[#This Row],[Forex Rate]]&lt;1300,"1100–1299","1300+")))</f>
        <v>1300+</v>
      </c>
      <c r="K235">
        <v>743995</v>
      </c>
      <c r="L235">
        <v>12172656</v>
      </c>
      <c r="M235">
        <v>1317077</v>
      </c>
      <c r="N235" t="str">
        <f>IF(Sales_Data[[#This Row],[Profit]]&lt;0,"Loss","Profit")</f>
        <v>Profit</v>
      </c>
      <c r="O235" s="2">
        <v>0.108199640242852</v>
      </c>
    </row>
    <row r="236" spans="1:15" x14ac:dyDescent="0.25">
      <c r="A236" s="1">
        <v>45795</v>
      </c>
      <c r="B236" t="s">
        <v>17</v>
      </c>
      <c r="C236" t="s">
        <v>6</v>
      </c>
      <c r="D236" t="s">
        <v>34</v>
      </c>
      <c r="E236" t="s">
        <v>4</v>
      </c>
      <c r="F236">
        <v>9726</v>
      </c>
      <c r="G236">
        <v>558</v>
      </c>
      <c r="H236">
        <v>530</v>
      </c>
      <c r="I236">
        <v>1423</v>
      </c>
      <c r="J236" t="str">
        <f>IF(Sales_Data[[#This Row],[Forex Rate]]&lt;900,"Below 900",IF(Sales_Data[[#This Row],[Forex Rate]]&lt;1100,"900–1099",IF(Sales_Data[[#This Row],[Forex Rate]]&lt;1300,"1100–1299","1300+")))</f>
        <v>1300+</v>
      </c>
      <c r="K236">
        <v>471212</v>
      </c>
      <c r="L236">
        <v>5154780</v>
      </c>
      <c r="M236">
        <v>-743540</v>
      </c>
      <c r="N236" t="str">
        <f>IF(Sales_Data[[#This Row],[Profit]]&lt;0,"Loss","Profit")</f>
        <v>Loss</v>
      </c>
      <c r="O236" s="2">
        <v>-0.14424281928617699</v>
      </c>
    </row>
    <row r="237" spans="1:15" x14ac:dyDescent="0.25">
      <c r="A237" s="1">
        <v>45768</v>
      </c>
      <c r="B237" t="s">
        <v>16</v>
      </c>
      <c r="C237" t="s">
        <v>6</v>
      </c>
      <c r="D237" t="s">
        <v>35</v>
      </c>
      <c r="E237" t="s">
        <v>7</v>
      </c>
      <c r="F237">
        <v>25354</v>
      </c>
      <c r="G237">
        <v>582</v>
      </c>
      <c r="H237">
        <v>678</v>
      </c>
      <c r="I237">
        <v>1422</v>
      </c>
      <c r="J237" t="str">
        <f>IF(Sales_Data[[#This Row],[Forex Rate]]&lt;900,"Below 900",IF(Sales_Data[[#This Row],[Forex Rate]]&lt;1100,"900–1099",IF(Sales_Data[[#This Row],[Forex Rate]]&lt;1300,"1100–1299","1300+")))</f>
        <v>1300+</v>
      </c>
      <c r="K237">
        <v>649484</v>
      </c>
      <c r="L237">
        <v>17190012</v>
      </c>
      <c r="M237">
        <v>1784500</v>
      </c>
      <c r="N237" t="str">
        <f>IF(Sales_Data[[#This Row],[Profit]]&lt;0,"Loss","Profit")</f>
        <v>Profit</v>
      </c>
      <c r="O237" s="2">
        <v>0.103810282389564</v>
      </c>
    </row>
    <row r="238" spans="1:15" x14ac:dyDescent="0.25">
      <c r="A238" s="1">
        <v>45730</v>
      </c>
      <c r="B238" t="s">
        <v>14</v>
      </c>
      <c r="C238" t="s">
        <v>6</v>
      </c>
      <c r="D238" t="s">
        <v>36</v>
      </c>
      <c r="E238" t="s">
        <v>8</v>
      </c>
      <c r="F238">
        <v>17892</v>
      </c>
      <c r="G238">
        <v>429</v>
      </c>
      <c r="H238">
        <v>626</v>
      </c>
      <c r="I238">
        <v>1405</v>
      </c>
      <c r="J238" t="str">
        <f>IF(Sales_Data[[#This Row],[Forex Rate]]&lt;900,"Below 900",IF(Sales_Data[[#This Row],[Forex Rate]]&lt;1100,"900–1099",IF(Sales_Data[[#This Row],[Forex Rate]]&lt;1300,"1100–1299","1300+")))</f>
        <v>1300+</v>
      </c>
      <c r="K238">
        <v>675852</v>
      </c>
      <c r="L238">
        <v>11200392</v>
      </c>
      <c r="M238">
        <v>2848872</v>
      </c>
      <c r="N238" t="str">
        <f>IF(Sales_Data[[#This Row],[Profit]]&lt;0,"Loss","Profit")</f>
        <v>Profit</v>
      </c>
      <c r="O238" s="2">
        <v>0.25435466901515602</v>
      </c>
    </row>
    <row r="239" spans="1:15" x14ac:dyDescent="0.25">
      <c r="A239" s="1">
        <v>45799</v>
      </c>
      <c r="B239" t="s">
        <v>17</v>
      </c>
      <c r="C239" t="s">
        <v>3</v>
      </c>
      <c r="D239" t="s">
        <v>35</v>
      </c>
      <c r="E239" t="s">
        <v>11</v>
      </c>
      <c r="F239">
        <v>13076</v>
      </c>
      <c r="G239">
        <v>596</v>
      </c>
      <c r="H239">
        <v>876</v>
      </c>
      <c r="I239">
        <v>1401</v>
      </c>
      <c r="J239" t="str">
        <f>IF(Sales_Data[[#This Row],[Forex Rate]]&lt;900,"Below 900",IF(Sales_Data[[#This Row],[Forex Rate]]&lt;1100,"900–1099",IF(Sales_Data[[#This Row],[Forex Rate]]&lt;1300,"1100–1299","1300+")))</f>
        <v>1300+</v>
      </c>
      <c r="K239">
        <v>422022</v>
      </c>
      <c r="L239">
        <v>11454576</v>
      </c>
      <c r="M239">
        <v>3239258</v>
      </c>
      <c r="N239" t="str">
        <f>IF(Sales_Data[[#This Row],[Profit]]&lt;0,"Loss","Profit")</f>
        <v>Profit</v>
      </c>
      <c r="O239" s="2">
        <v>0.282791610968402</v>
      </c>
    </row>
    <row r="240" spans="1:15" x14ac:dyDescent="0.25">
      <c r="A240" s="1">
        <v>45699</v>
      </c>
      <c r="B240" t="s">
        <v>15</v>
      </c>
      <c r="C240" t="s">
        <v>3</v>
      </c>
      <c r="D240" t="s">
        <v>36</v>
      </c>
      <c r="E240" t="s">
        <v>8</v>
      </c>
      <c r="F240">
        <v>19469</v>
      </c>
      <c r="G240">
        <v>550</v>
      </c>
      <c r="H240">
        <v>834</v>
      </c>
      <c r="I240">
        <v>1391</v>
      </c>
      <c r="J240" t="str">
        <f>IF(Sales_Data[[#This Row],[Forex Rate]]&lt;900,"Below 900",IF(Sales_Data[[#This Row],[Forex Rate]]&lt;1100,"900–1099",IF(Sales_Data[[#This Row],[Forex Rate]]&lt;1300,"1100–1299","1300+")))</f>
        <v>1300+</v>
      </c>
      <c r="K240">
        <v>270634</v>
      </c>
      <c r="L240">
        <v>16237146</v>
      </c>
      <c r="M240">
        <v>5258562</v>
      </c>
      <c r="N240" t="str">
        <f>IF(Sales_Data[[#This Row],[Profit]]&lt;0,"Loss","Profit")</f>
        <v>Profit</v>
      </c>
      <c r="O240" s="2">
        <v>0.32385999362203199</v>
      </c>
    </row>
    <row r="241" spans="1:15" x14ac:dyDescent="0.25">
      <c r="A241" s="1">
        <v>45742</v>
      </c>
      <c r="B241" t="s">
        <v>14</v>
      </c>
      <c r="C241" t="s">
        <v>9</v>
      </c>
      <c r="D241" t="s">
        <v>36</v>
      </c>
      <c r="E241" t="s">
        <v>10</v>
      </c>
      <c r="F241">
        <v>13402</v>
      </c>
      <c r="G241">
        <v>506</v>
      </c>
      <c r="H241">
        <v>653</v>
      </c>
      <c r="I241">
        <v>1405</v>
      </c>
      <c r="J241" t="str">
        <f>IF(Sales_Data[[#This Row],[Forex Rate]]&lt;900,"Below 900",IF(Sales_Data[[#This Row],[Forex Rate]]&lt;1100,"900–1099",IF(Sales_Data[[#This Row],[Forex Rate]]&lt;1300,"1100–1299","1300+")))</f>
        <v>1300+</v>
      </c>
      <c r="K241">
        <v>1046934</v>
      </c>
      <c r="L241">
        <v>8751506</v>
      </c>
      <c r="M241">
        <v>923160</v>
      </c>
      <c r="N241" t="str">
        <f>IF(Sales_Data[[#This Row],[Profit]]&lt;0,"Loss","Profit")</f>
        <v>Profit</v>
      </c>
      <c r="O241" s="2">
        <v>0.10548584437924199</v>
      </c>
    </row>
    <row r="242" spans="1:15" x14ac:dyDescent="0.25">
      <c r="A242" s="1">
        <v>45738</v>
      </c>
      <c r="B242" t="s">
        <v>14</v>
      </c>
      <c r="C242" t="s">
        <v>6</v>
      </c>
      <c r="D242" t="s">
        <v>34</v>
      </c>
      <c r="E242" t="s">
        <v>4</v>
      </c>
      <c r="F242">
        <v>33581</v>
      </c>
      <c r="G242">
        <v>566</v>
      </c>
      <c r="H242">
        <v>599</v>
      </c>
      <c r="I242">
        <v>1344</v>
      </c>
      <c r="J242" t="str">
        <f>IF(Sales_Data[[#This Row],[Forex Rate]]&lt;900,"Below 900",IF(Sales_Data[[#This Row],[Forex Rate]]&lt;1100,"900–1099",IF(Sales_Data[[#This Row],[Forex Rate]]&lt;1300,"1100–1299","1300+")))</f>
        <v>1300+</v>
      </c>
      <c r="K242">
        <v>710626</v>
      </c>
      <c r="L242">
        <v>20115019</v>
      </c>
      <c r="M242">
        <v>397547</v>
      </c>
      <c r="N242" t="str">
        <f>IF(Sales_Data[[#This Row],[Profit]]&lt;0,"Loss","Profit")</f>
        <v>Profit</v>
      </c>
      <c r="O242" s="2">
        <v>1.97636900069545E-2</v>
      </c>
    </row>
    <row r="243" spans="1:15" x14ac:dyDescent="0.25">
      <c r="A243" s="1">
        <v>45729</v>
      </c>
      <c r="B243" t="s">
        <v>14</v>
      </c>
      <c r="C243" t="s">
        <v>9</v>
      </c>
      <c r="D243" t="s">
        <v>36</v>
      </c>
      <c r="E243" t="s">
        <v>8</v>
      </c>
      <c r="F243">
        <v>17873</v>
      </c>
      <c r="G243">
        <v>540</v>
      </c>
      <c r="H243">
        <v>653</v>
      </c>
      <c r="I243">
        <v>1405</v>
      </c>
      <c r="J243" t="str">
        <f>IF(Sales_Data[[#This Row],[Forex Rate]]&lt;900,"Below 900",IF(Sales_Data[[#This Row],[Forex Rate]]&lt;1100,"900–1099",IF(Sales_Data[[#This Row],[Forex Rate]]&lt;1300,"1100–1299","1300+")))</f>
        <v>1300+</v>
      </c>
      <c r="K243">
        <v>675852</v>
      </c>
      <c r="L243">
        <v>11671069</v>
      </c>
      <c r="M243">
        <v>1343797</v>
      </c>
      <c r="N243" t="str">
        <f>IF(Sales_Data[[#This Row],[Profit]]&lt;0,"Loss","Profit")</f>
        <v>Profit</v>
      </c>
      <c r="O243" s="2">
        <v>0.115139153063014</v>
      </c>
    </row>
    <row r="244" spans="1:15" x14ac:dyDescent="0.25">
      <c r="A244" s="1">
        <v>45797</v>
      </c>
      <c r="B244" t="s">
        <v>17</v>
      </c>
      <c r="C244" t="s">
        <v>9</v>
      </c>
      <c r="D244" t="s">
        <v>34</v>
      </c>
      <c r="E244" t="s">
        <v>5</v>
      </c>
      <c r="F244">
        <v>28974</v>
      </c>
      <c r="G244">
        <v>563</v>
      </c>
      <c r="H244">
        <v>598</v>
      </c>
      <c r="I244">
        <v>1404</v>
      </c>
      <c r="J244" t="str">
        <f>IF(Sales_Data[[#This Row],[Forex Rate]]&lt;900,"Below 900",IF(Sales_Data[[#This Row],[Forex Rate]]&lt;1100,"900–1099",IF(Sales_Data[[#This Row],[Forex Rate]]&lt;1300,"1100–1299","1300+")))</f>
        <v>1300+</v>
      </c>
      <c r="K244">
        <v>581540</v>
      </c>
      <c r="L244">
        <v>17326452</v>
      </c>
      <c r="M244">
        <v>432550</v>
      </c>
      <c r="N244" t="str">
        <f>IF(Sales_Data[[#This Row],[Profit]]&lt;0,"Loss","Profit")</f>
        <v>Profit</v>
      </c>
      <c r="O244" s="2">
        <v>2.49647186856259E-2</v>
      </c>
    </row>
    <row r="245" spans="1:15" x14ac:dyDescent="0.25">
      <c r="A245" s="1">
        <v>45789</v>
      </c>
      <c r="B245" t="s">
        <v>17</v>
      </c>
      <c r="C245" t="s">
        <v>3</v>
      </c>
      <c r="D245" t="s">
        <v>34</v>
      </c>
      <c r="E245" t="s">
        <v>4</v>
      </c>
      <c r="F245">
        <v>34243</v>
      </c>
      <c r="G245">
        <v>590</v>
      </c>
      <c r="H245">
        <v>668</v>
      </c>
      <c r="I245">
        <v>1216</v>
      </c>
      <c r="J245" t="str">
        <f>IF(Sales_Data[[#This Row],[Forex Rate]]&lt;900,"Below 900",IF(Sales_Data[[#This Row],[Forex Rate]]&lt;1100,"900–1099",IF(Sales_Data[[#This Row],[Forex Rate]]&lt;1300,"1100–1299","1300+")))</f>
        <v>1100–1299</v>
      </c>
      <c r="K245">
        <v>477198</v>
      </c>
      <c r="L245">
        <v>22874324</v>
      </c>
      <c r="M245">
        <v>2193756</v>
      </c>
      <c r="N245" t="str">
        <f>IF(Sales_Data[[#This Row],[Profit]]&lt;0,"Loss","Profit")</f>
        <v>Profit</v>
      </c>
      <c r="O245" s="2">
        <v>9.5904735807711694E-2</v>
      </c>
    </row>
    <row r="246" spans="1:15" x14ac:dyDescent="0.25">
      <c r="A246" s="1">
        <v>45790</v>
      </c>
      <c r="B246" t="s">
        <v>17</v>
      </c>
      <c r="C246" t="s">
        <v>9</v>
      </c>
      <c r="D246" t="s">
        <v>34</v>
      </c>
      <c r="E246" t="s">
        <v>4</v>
      </c>
      <c r="F246">
        <v>35780</v>
      </c>
      <c r="G246">
        <v>563</v>
      </c>
      <c r="H246">
        <v>596</v>
      </c>
      <c r="I246">
        <v>1401</v>
      </c>
      <c r="J246" t="str">
        <f>IF(Sales_Data[[#This Row],[Forex Rate]]&lt;900,"Below 900",IF(Sales_Data[[#This Row],[Forex Rate]]&lt;1100,"900–1099",IF(Sales_Data[[#This Row],[Forex Rate]]&lt;1300,"1100–1299","1300+")))</f>
        <v>1300+</v>
      </c>
      <c r="K246">
        <v>382294</v>
      </c>
      <c r="L246">
        <v>21324880</v>
      </c>
      <c r="M246">
        <v>798446</v>
      </c>
      <c r="N246" t="str">
        <f>IF(Sales_Data[[#This Row],[Profit]]&lt;0,"Loss","Profit")</f>
        <v>Profit</v>
      </c>
      <c r="O246" s="2">
        <v>3.74419926395834E-2</v>
      </c>
    </row>
    <row r="247" spans="1:15" x14ac:dyDescent="0.25">
      <c r="A247" s="1">
        <v>45808</v>
      </c>
      <c r="B247" t="s">
        <v>17</v>
      </c>
      <c r="C247" t="s">
        <v>3</v>
      </c>
      <c r="D247" t="s">
        <v>35</v>
      </c>
      <c r="E247" t="s">
        <v>7</v>
      </c>
      <c r="F247">
        <v>21487</v>
      </c>
      <c r="G247">
        <v>487</v>
      </c>
      <c r="H247">
        <v>840</v>
      </c>
      <c r="I247">
        <v>1517</v>
      </c>
      <c r="J247" t="str">
        <f>IF(Sales_Data[[#This Row],[Forex Rate]]&lt;900,"Below 900",IF(Sales_Data[[#This Row],[Forex Rate]]&lt;1100,"900–1099",IF(Sales_Data[[#This Row],[Forex Rate]]&lt;1300,"1100–1299","1300+")))</f>
        <v>1300+</v>
      </c>
      <c r="K247">
        <v>726214</v>
      </c>
      <c r="L247">
        <v>18049080</v>
      </c>
      <c r="M247">
        <v>6858697</v>
      </c>
      <c r="N247" t="str">
        <f>IF(Sales_Data[[#This Row],[Profit]]&lt;0,"Loss","Profit")</f>
        <v>Profit</v>
      </c>
      <c r="O247" s="2">
        <v>0.38000258184904701</v>
      </c>
    </row>
    <row r="248" spans="1:15" x14ac:dyDescent="0.25">
      <c r="A248" s="1">
        <v>45677</v>
      </c>
      <c r="B248" t="s">
        <v>18</v>
      </c>
      <c r="C248" t="s">
        <v>6</v>
      </c>
      <c r="D248" t="s">
        <v>34</v>
      </c>
      <c r="E248" t="s">
        <v>4</v>
      </c>
      <c r="F248">
        <v>18861</v>
      </c>
      <c r="G248">
        <v>467</v>
      </c>
      <c r="H248">
        <v>637</v>
      </c>
      <c r="I248">
        <v>1393</v>
      </c>
      <c r="J248" t="str">
        <f>IF(Sales_Data[[#This Row],[Forex Rate]]&lt;900,"Below 900",IF(Sales_Data[[#This Row],[Forex Rate]]&lt;1100,"900–1099",IF(Sales_Data[[#This Row],[Forex Rate]]&lt;1300,"1100–1299","1300+")))</f>
        <v>1300+</v>
      </c>
      <c r="K248">
        <v>697375</v>
      </c>
      <c r="L248">
        <v>12014457</v>
      </c>
      <c r="M248">
        <v>2508995</v>
      </c>
      <c r="N248" t="str">
        <f>IF(Sales_Data[[#This Row],[Profit]]&lt;0,"Loss","Profit")</f>
        <v>Profit</v>
      </c>
      <c r="O248" s="2">
        <v>0.20883132712531199</v>
      </c>
    </row>
    <row r="249" spans="1:15" x14ac:dyDescent="0.25">
      <c r="A249" s="1">
        <v>45663</v>
      </c>
      <c r="B249" t="s">
        <v>18</v>
      </c>
      <c r="C249" t="s">
        <v>9</v>
      </c>
      <c r="D249" t="s">
        <v>36</v>
      </c>
      <c r="E249" t="s">
        <v>10</v>
      </c>
      <c r="F249">
        <v>23786</v>
      </c>
      <c r="G249">
        <v>656</v>
      </c>
      <c r="H249">
        <v>686</v>
      </c>
      <c r="I249">
        <v>1222</v>
      </c>
      <c r="J249" t="str">
        <f>IF(Sales_Data[[#This Row],[Forex Rate]]&lt;900,"Below 900",IF(Sales_Data[[#This Row],[Forex Rate]]&lt;1100,"900–1099",IF(Sales_Data[[#This Row],[Forex Rate]]&lt;1300,"1100–1299","1300+")))</f>
        <v>1100–1299</v>
      </c>
      <c r="K249">
        <v>743995</v>
      </c>
      <c r="L249">
        <v>16317196</v>
      </c>
      <c r="M249">
        <v>-30415</v>
      </c>
      <c r="N249" t="str">
        <f>IF(Sales_Data[[#This Row],[Profit]]&lt;0,"Loss","Profit")</f>
        <v>Loss</v>
      </c>
      <c r="O249" s="2">
        <v>-1.8639844738029699E-3</v>
      </c>
    </row>
    <row r="250" spans="1:15" x14ac:dyDescent="0.25">
      <c r="A250" s="1">
        <v>45827</v>
      </c>
      <c r="B250" t="s">
        <v>19</v>
      </c>
      <c r="C250" t="s">
        <v>3</v>
      </c>
      <c r="D250" t="s">
        <v>36</v>
      </c>
      <c r="E250" t="s">
        <v>8</v>
      </c>
      <c r="F250">
        <v>19194</v>
      </c>
      <c r="G250">
        <v>561</v>
      </c>
      <c r="H250">
        <v>590</v>
      </c>
      <c r="I250">
        <v>1518</v>
      </c>
      <c r="J250" t="str">
        <f>IF(Sales_Data[[#This Row],[Forex Rate]]&lt;900,"Below 900",IF(Sales_Data[[#This Row],[Forex Rate]]&lt;1100,"900–1099",IF(Sales_Data[[#This Row],[Forex Rate]]&lt;1300,"1100–1299","1300+")))</f>
        <v>1300+</v>
      </c>
      <c r="K250">
        <v>675852</v>
      </c>
      <c r="L250">
        <v>11324460</v>
      </c>
      <c r="M250">
        <v>-119226</v>
      </c>
      <c r="N250" t="str">
        <f>IF(Sales_Data[[#This Row],[Profit]]&lt;0,"Loss","Profit")</f>
        <v>Loss</v>
      </c>
      <c r="O250" s="2">
        <v>-1.05281841253358E-2</v>
      </c>
    </row>
    <row r="251" spans="1:15" x14ac:dyDescent="0.25">
      <c r="A251" s="1">
        <v>45774</v>
      </c>
      <c r="B251" t="s">
        <v>16</v>
      </c>
      <c r="C251" t="s">
        <v>6</v>
      </c>
      <c r="D251" t="s">
        <v>34</v>
      </c>
      <c r="E251" t="s">
        <v>5</v>
      </c>
      <c r="F251">
        <v>29786</v>
      </c>
      <c r="G251">
        <v>582</v>
      </c>
      <c r="H251">
        <v>837</v>
      </c>
      <c r="I251">
        <v>1531</v>
      </c>
      <c r="J251" t="str">
        <f>IF(Sales_Data[[#This Row],[Forex Rate]]&lt;900,"Below 900",IF(Sales_Data[[#This Row],[Forex Rate]]&lt;1100,"900–1099",IF(Sales_Data[[#This Row],[Forex Rate]]&lt;1300,"1100–1299","1300+")))</f>
        <v>1300+</v>
      </c>
      <c r="K251">
        <v>680425</v>
      </c>
      <c r="L251">
        <v>24930882</v>
      </c>
      <c r="M251">
        <v>6915005</v>
      </c>
      <c r="N251" t="str">
        <f>IF(Sales_Data[[#This Row],[Profit]]&lt;0,"Loss","Profit")</f>
        <v>Profit</v>
      </c>
      <c r="O251" s="2">
        <v>0.27736704220893599</v>
      </c>
    </row>
    <row r="252" spans="1:15" x14ac:dyDescent="0.25">
      <c r="A252" s="1">
        <v>45681</v>
      </c>
      <c r="B252" t="s">
        <v>18</v>
      </c>
      <c r="C252" t="s">
        <v>3</v>
      </c>
      <c r="D252" t="s">
        <v>34</v>
      </c>
      <c r="E252" t="s">
        <v>4</v>
      </c>
      <c r="F252">
        <v>24580</v>
      </c>
      <c r="G252">
        <v>604</v>
      </c>
      <c r="H252">
        <v>742</v>
      </c>
      <c r="I252">
        <v>1400</v>
      </c>
      <c r="J252" t="str">
        <f>IF(Sales_Data[[#This Row],[Forex Rate]]&lt;900,"Below 900",IF(Sales_Data[[#This Row],[Forex Rate]]&lt;1100,"900–1099",IF(Sales_Data[[#This Row],[Forex Rate]]&lt;1300,"1100–1299","1300+")))</f>
        <v>1300+</v>
      </c>
      <c r="K252">
        <v>440633</v>
      </c>
      <c r="L252">
        <v>18238360</v>
      </c>
      <c r="M252">
        <v>2951407</v>
      </c>
      <c r="N252" t="str">
        <f>IF(Sales_Data[[#This Row],[Profit]]&lt;0,"Loss","Profit")</f>
        <v>Profit</v>
      </c>
      <c r="O252" s="2">
        <v>0.16182414427613001</v>
      </c>
    </row>
    <row r="253" spans="1:15" x14ac:dyDescent="0.25">
      <c r="A253" s="1">
        <v>45766</v>
      </c>
      <c r="B253" t="s">
        <v>16</v>
      </c>
      <c r="C253" t="s">
        <v>6</v>
      </c>
      <c r="D253" t="s">
        <v>35</v>
      </c>
      <c r="E253" t="s">
        <v>11</v>
      </c>
      <c r="F253">
        <v>21680</v>
      </c>
      <c r="G253">
        <v>582</v>
      </c>
      <c r="H253">
        <v>845</v>
      </c>
      <c r="I253">
        <v>1422</v>
      </c>
      <c r="J253" t="str">
        <f>IF(Sales_Data[[#This Row],[Forex Rate]]&lt;900,"Below 900",IF(Sales_Data[[#This Row],[Forex Rate]]&lt;1100,"900–1099",IF(Sales_Data[[#This Row],[Forex Rate]]&lt;1300,"1100–1299","1300+")))</f>
        <v>1300+</v>
      </c>
      <c r="K253">
        <v>642323</v>
      </c>
      <c r="L253">
        <v>18319600</v>
      </c>
      <c r="M253">
        <v>5059517</v>
      </c>
      <c r="N253" t="str">
        <f>IF(Sales_Data[[#This Row],[Profit]]&lt;0,"Loss","Profit")</f>
        <v>Profit</v>
      </c>
      <c r="O253" s="2">
        <v>0.27618053887639499</v>
      </c>
    </row>
    <row r="254" spans="1:15" x14ac:dyDescent="0.25">
      <c r="A254" s="1">
        <v>45754</v>
      </c>
      <c r="B254" t="s">
        <v>16</v>
      </c>
      <c r="C254" t="s">
        <v>3</v>
      </c>
      <c r="D254" t="s">
        <v>34</v>
      </c>
      <c r="E254" t="s">
        <v>4</v>
      </c>
      <c r="F254">
        <v>31794</v>
      </c>
      <c r="G254">
        <v>567</v>
      </c>
      <c r="H254">
        <v>564</v>
      </c>
      <c r="I254">
        <v>1422</v>
      </c>
      <c r="J254" t="str">
        <f>IF(Sales_Data[[#This Row],[Forex Rate]]&lt;900,"Below 900",IF(Sales_Data[[#This Row],[Forex Rate]]&lt;1100,"900–1099",IF(Sales_Data[[#This Row],[Forex Rate]]&lt;1300,"1100–1299","1300+")))</f>
        <v>1300+</v>
      </c>
      <c r="K254">
        <v>616760</v>
      </c>
      <c r="L254">
        <v>17931816</v>
      </c>
      <c r="M254">
        <v>-712142</v>
      </c>
      <c r="N254" t="str">
        <f>IF(Sales_Data[[#This Row],[Profit]]&lt;0,"Loss","Profit")</f>
        <v>Loss</v>
      </c>
      <c r="O254" s="2">
        <v>-3.9713880624249097E-2</v>
      </c>
    </row>
    <row r="255" spans="1:15" x14ac:dyDescent="0.25">
      <c r="A255" s="1">
        <v>45703</v>
      </c>
      <c r="B255" t="s">
        <v>15</v>
      </c>
      <c r="C255" t="s">
        <v>6</v>
      </c>
      <c r="D255" t="s">
        <v>36</v>
      </c>
      <c r="E255" t="s">
        <v>10</v>
      </c>
      <c r="F255">
        <v>41366</v>
      </c>
      <c r="G255">
        <v>512</v>
      </c>
      <c r="H255">
        <v>607</v>
      </c>
      <c r="I255">
        <v>1391</v>
      </c>
      <c r="J255" t="str">
        <f>IF(Sales_Data[[#This Row],[Forex Rate]]&lt;900,"Below 900",IF(Sales_Data[[#This Row],[Forex Rate]]&lt;1100,"900–1099",IF(Sales_Data[[#This Row],[Forex Rate]]&lt;1300,"1100–1299","1300+")))</f>
        <v>1300+</v>
      </c>
      <c r="K255">
        <v>743995</v>
      </c>
      <c r="L255">
        <v>25109162</v>
      </c>
      <c r="M255">
        <v>3185775</v>
      </c>
      <c r="N255" t="str">
        <f>IF(Sales_Data[[#This Row],[Profit]]&lt;0,"Loss","Profit")</f>
        <v>Profit</v>
      </c>
      <c r="O255" s="2">
        <v>0.126876994142616</v>
      </c>
    </row>
    <row r="256" spans="1:15" x14ac:dyDescent="0.25">
      <c r="A256" s="1">
        <v>45788</v>
      </c>
      <c r="B256" t="s">
        <v>17</v>
      </c>
      <c r="C256" t="s">
        <v>9</v>
      </c>
      <c r="D256" t="s">
        <v>34</v>
      </c>
      <c r="E256" t="s">
        <v>4</v>
      </c>
      <c r="F256">
        <v>24703</v>
      </c>
      <c r="G256">
        <v>629</v>
      </c>
      <c r="H256">
        <v>682</v>
      </c>
      <c r="I256">
        <v>1401</v>
      </c>
      <c r="J256" t="str">
        <f>IF(Sales_Data[[#This Row],[Forex Rate]]&lt;900,"Below 900",IF(Sales_Data[[#This Row],[Forex Rate]]&lt;1100,"900–1099",IF(Sales_Data[[#This Row],[Forex Rate]]&lt;1300,"1100–1299","1300+")))</f>
        <v>1300+</v>
      </c>
      <c r="K256">
        <v>656526</v>
      </c>
      <c r="L256">
        <v>16847446</v>
      </c>
      <c r="M256">
        <v>652733</v>
      </c>
      <c r="N256" t="str">
        <f>IF(Sales_Data[[#This Row],[Profit]]&lt;0,"Loss","Profit")</f>
        <v>Profit</v>
      </c>
      <c r="O256" s="2">
        <v>3.8743735994167902E-2</v>
      </c>
    </row>
    <row r="257" spans="1:15" x14ac:dyDescent="0.25">
      <c r="A257" s="1">
        <v>45678</v>
      </c>
      <c r="B257" t="s">
        <v>18</v>
      </c>
      <c r="C257" t="s">
        <v>6</v>
      </c>
      <c r="D257" t="s">
        <v>34</v>
      </c>
      <c r="E257" t="s">
        <v>5</v>
      </c>
      <c r="F257">
        <v>21280</v>
      </c>
      <c r="G257">
        <v>576</v>
      </c>
      <c r="H257">
        <v>638</v>
      </c>
      <c r="I257">
        <v>1456</v>
      </c>
      <c r="J257" t="str">
        <f>IF(Sales_Data[[#This Row],[Forex Rate]]&lt;900,"Below 900",IF(Sales_Data[[#This Row],[Forex Rate]]&lt;1100,"900–1099",IF(Sales_Data[[#This Row],[Forex Rate]]&lt;1300,"1100–1299","1300+")))</f>
        <v>1300+</v>
      </c>
      <c r="K257">
        <v>680425</v>
      </c>
      <c r="L257">
        <v>13576640</v>
      </c>
      <c r="M257">
        <v>638935</v>
      </c>
      <c r="N257" t="str">
        <f>IF(Sales_Data[[#This Row],[Profit]]&lt;0,"Loss","Profit")</f>
        <v>Profit</v>
      </c>
      <c r="O257" s="2">
        <v>4.7061349494425697E-2</v>
      </c>
    </row>
    <row r="258" spans="1:15" x14ac:dyDescent="0.25">
      <c r="A258" s="1">
        <v>45811</v>
      </c>
      <c r="B258" t="s">
        <v>19</v>
      </c>
      <c r="C258" t="s">
        <v>6</v>
      </c>
      <c r="D258" t="s">
        <v>34</v>
      </c>
      <c r="E258" t="s">
        <v>4</v>
      </c>
      <c r="F258">
        <v>7363</v>
      </c>
      <c r="G258">
        <v>492</v>
      </c>
      <c r="H258">
        <v>574</v>
      </c>
      <c r="I258">
        <v>1389</v>
      </c>
      <c r="J258" t="str">
        <f>IF(Sales_Data[[#This Row],[Forex Rate]]&lt;900,"Below 900",IF(Sales_Data[[#This Row],[Forex Rate]]&lt;1100,"900–1099",IF(Sales_Data[[#This Row],[Forex Rate]]&lt;1300,"1100–1299","1300+")))</f>
        <v>1300+</v>
      </c>
      <c r="K258">
        <v>410040</v>
      </c>
      <c r="L258">
        <v>4226362</v>
      </c>
      <c r="M258">
        <v>193726</v>
      </c>
      <c r="N258" t="str">
        <f>IF(Sales_Data[[#This Row],[Profit]]&lt;0,"Loss","Profit")</f>
        <v>Profit</v>
      </c>
      <c r="O258" s="2">
        <v>4.5837531191128399E-2</v>
      </c>
    </row>
    <row r="259" spans="1:15" x14ac:dyDescent="0.25">
      <c r="A259" s="1">
        <v>45681</v>
      </c>
      <c r="B259" t="s">
        <v>18</v>
      </c>
      <c r="C259" t="s">
        <v>3</v>
      </c>
      <c r="D259" t="s">
        <v>36</v>
      </c>
      <c r="E259" t="s">
        <v>8</v>
      </c>
      <c r="F259">
        <v>43203</v>
      </c>
      <c r="G259">
        <v>524</v>
      </c>
      <c r="H259">
        <v>538</v>
      </c>
      <c r="I259">
        <v>1304</v>
      </c>
      <c r="J259" t="str">
        <f>IF(Sales_Data[[#This Row],[Forex Rate]]&lt;900,"Below 900",IF(Sales_Data[[#This Row],[Forex Rate]]&lt;1100,"900–1099",IF(Sales_Data[[#This Row],[Forex Rate]]&lt;1300,"1100–1299","1300+")))</f>
        <v>1300+</v>
      </c>
      <c r="K259">
        <v>675852</v>
      </c>
      <c r="L259">
        <v>23243214</v>
      </c>
      <c r="M259">
        <v>-71010</v>
      </c>
      <c r="N259" t="str">
        <f>IF(Sales_Data[[#This Row],[Profit]]&lt;0,"Loss","Profit")</f>
        <v>Loss</v>
      </c>
      <c r="O259" s="2">
        <v>-3.0550852390723599E-3</v>
      </c>
    </row>
    <row r="260" spans="1:15" x14ac:dyDescent="0.25">
      <c r="A260" s="1">
        <v>45745</v>
      </c>
      <c r="B260" t="s">
        <v>14</v>
      </c>
      <c r="C260" t="s">
        <v>9</v>
      </c>
      <c r="D260" t="s">
        <v>36</v>
      </c>
      <c r="E260" t="s">
        <v>10</v>
      </c>
      <c r="F260">
        <v>23786</v>
      </c>
      <c r="G260">
        <v>540</v>
      </c>
      <c r="H260">
        <v>649</v>
      </c>
      <c r="I260">
        <v>1508</v>
      </c>
      <c r="J260" t="str">
        <f>IF(Sales_Data[[#This Row],[Forex Rate]]&lt;900,"Below 900",IF(Sales_Data[[#This Row],[Forex Rate]]&lt;1100,"900–1099",IF(Sales_Data[[#This Row],[Forex Rate]]&lt;1300,"1100–1299","1300+")))</f>
        <v>1300+</v>
      </c>
      <c r="K260">
        <v>743995</v>
      </c>
      <c r="L260">
        <v>15437114</v>
      </c>
      <c r="M260">
        <v>1848679</v>
      </c>
      <c r="N260" t="str">
        <f>IF(Sales_Data[[#This Row],[Profit]]&lt;0,"Loss","Profit")</f>
        <v>Profit</v>
      </c>
      <c r="O260" s="2">
        <v>0.119755480201805</v>
      </c>
    </row>
    <row r="261" spans="1:15" x14ac:dyDescent="0.25">
      <c r="A261" s="1">
        <v>45781</v>
      </c>
      <c r="B261" t="s">
        <v>17</v>
      </c>
      <c r="C261" t="s">
        <v>6</v>
      </c>
      <c r="D261" t="s">
        <v>36</v>
      </c>
      <c r="E261" t="s">
        <v>8</v>
      </c>
      <c r="F261">
        <v>9427</v>
      </c>
      <c r="G261">
        <v>595</v>
      </c>
      <c r="H261">
        <v>766</v>
      </c>
      <c r="I261">
        <v>1401</v>
      </c>
      <c r="J261" t="str">
        <f>IF(Sales_Data[[#This Row],[Forex Rate]]&lt;900,"Below 900",IF(Sales_Data[[#This Row],[Forex Rate]]&lt;1100,"900–1099",IF(Sales_Data[[#This Row],[Forex Rate]]&lt;1300,"1100–1299","1300+")))</f>
        <v>1300+</v>
      </c>
      <c r="K261">
        <v>934861</v>
      </c>
      <c r="L261">
        <v>7221082</v>
      </c>
      <c r="M261">
        <v>677156</v>
      </c>
      <c r="N261" t="str">
        <f>IF(Sales_Data[[#This Row],[Profit]]&lt;0,"Loss","Profit")</f>
        <v>Profit</v>
      </c>
      <c r="O261" s="2">
        <v>9.3774866425834796E-2</v>
      </c>
    </row>
    <row r="262" spans="1:15" x14ac:dyDescent="0.25">
      <c r="A262" s="1">
        <v>45760</v>
      </c>
      <c r="B262" t="s">
        <v>16</v>
      </c>
      <c r="C262" t="s">
        <v>9</v>
      </c>
      <c r="D262" t="s">
        <v>35</v>
      </c>
      <c r="E262" t="s">
        <v>11</v>
      </c>
      <c r="F262">
        <v>9982</v>
      </c>
      <c r="G262">
        <v>591</v>
      </c>
      <c r="H262">
        <v>754</v>
      </c>
      <c r="I262">
        <v>1422</v>
      </c>
      <c r="J262" t="str">
        <f>IF(Sales_Data[[#This Row],[Forex Rate]]&lt;900,"Below 900",IF(Sales_Data[[#This Row],[Forex Rate]]&lt;1100,"900–1099",IF(Sales_Data[[#This Row],[Forex Rate]]&lt;1300,"1100–1299","1300+")))</f>
        <v>1300+</v>
      </c>
      <c r="K262">
        <v>1115136</v>
      </c>
      <c r="L262">
        <v>7526428</v>
      </c>
      <c r="M262">
        <v>511930</v>
      </c>
      <c r="N262" t="str">
        <f>IF(Sales_Data[[#This Row],[Profit]]&lt;0,"Loss","Profit")</f>
        <v>Profit</v>
      </c>
      <c r="O262" s="2">
        <v>6.8017657247236005E-2</v>
      </c>
    </row>
    <row r="263" spans="1:15" x14ac:dyDescent="0.25">
      <c r="A263" s="1">
        <v>45721</v>
      </c>
      <c r="B263" t="s">
        <v>14</v>
      </c>
      <c r="C263" t="s">
        <v>9</v>
      </c>
      <c r="D263" t="s">
        <v>34</v>
      </c>
      <c r="E263" t="s">
        <v>4</v>
      </c>
      <c r="F263">
        <v>15223</v>
      </c>
      <c r="G263">
        <v>540</v>
      </c>
      <c r="H263">
        <v>653</v>
      </c>
      <c r="I263">
        <v>1506</v>
      </c>
      <c r="J263" t="str">
        <f>IF(Sales_Data[[#This Row],[Forex Rate]]&lt;900,"Below 900",IF(Sales_Data[[#This Row],[Forex Rate]]&lt;1100,"900–1099",IF(Sales_Data[[#This Row],[Forex Rate]]&lt;1300,"1100–1299","1300+")))</f>
        <v>1300+</v>
      </c>
      <c r="K263">
        <v>705719</v>
      </c>
      <c r="L263">
        <v>9940619</v>
      </c>
      <c r="M263">
        <v>1014480</v>
      </c>
      <c r="N263" t="str">
        <f>IF(Sales_Data[[#This Row],[Profit]]&lt;0,"Loss","Profit")</f>
        <v>Profit</v>
      </c>
      <c r="O263" s="2">
        <v>0.102054006898363</v>
      </c>
    </row>
    <row r="264" spans="1:15" x14ac:dyDescent="0.25">
      <c r="A264" s="1">
        <v>45805</v>
      </c>
      <c r="B264" t="s">
        <v>17</v>
      </c>
      <c r="C264" t="s">
        <v>3</v>
      </c>
      <c r="D264" t="s">
        <v>35</v>
      </c>
      <c r="E264" t="s">
        <v>7</v>
      </c>
      <c r="F264">
        <v>24906</v>
      </c>
      <c r="G264">
        <v>596</v>
      </c>
      <c r="H264">
        <v>508</v>
      </c>
      <c r="I264">
        <v>1401</v>
      </c>
      <c r="J264" t="str">
        <f>IF(Sales_Data[[#This Row],[Forex Rate]]&lt;900,"Below 900",IF(Sales_Data[[#This Row],[Forex Rate]]&lt;1100,"900–1099",IF(Sales_Data[[#This Row],[Forex Rate]]&lt;1300,"1100–1299","1300+")))</f>
        <v>1300+</v>
      </c>
      <c r="K264">
        <v>649484</v>
      </c>
      <c r="L264">
        <v>12652248</v>
      </c>
      <c r="M264">
        <v>-2841212</v>
      </c>
      <c r="N264" t="str">
        <f>IF(Sales_Data[[#This Row],[Profit]]&lt;0,"Loss","Profit")</f>
        <v>Loss</v>
      </c>
      <c r="O264" s="2">
        <v>-0.22456183280631201</v>
      </c>
    </row>
    <row r="265" spans="1:15" x14ac:dyDescent="0.25">
      <c r="A265" s="1">
        <v>45836</v>
      </c>
      <c r="B265" t="s">
        <v>19</v>
      </c>
      <c r="C265" t="s">
        <v>9</v>
      </c>
      <c r="D265" t="s">
        <v>35</v>
      </c>
      <c r="E265" t="s">
        <v>11</v>
      </c>
      <c r="F265">
        <v>25686</v>
      </c>
      <c r="G265">
        <v>622</v>
      </c>
      <c r="H265">
        <v>726</v>
      </c>
      <c r="I265">
        <v>1305</v>
      </c>
      <c r="J265" t="str">
        <f>IF(Sales_Data[[#This Row],[Forex Rate]]&lt;900,"Below 900",IF(Sales_Data[[#This Row],[Forex Rate]]&lt;1100,"900–1099",IF(Sales_Data[[#This Row],[Forex Rate]]&lt;1300,"1100–1299","1300+")))</f>
        <v>1300+</v>
      </c>
      <c r="K265">
        <v>842865</v>
      </c>
      <c r="L265">
        <v>18648036</v>
      </c>
      <c r="M265">
        <v>1828479</v>
      </c>
      <c r="N265" t="str">
        <f>IF(Sales_Data[[#This Row],[Profit]]&lt;0,"Loss","Profit")</f>
        <v>Profit</v>
      </c>
      <c r="O265" s="2">
        <v>9.8052095137525497E-2</v>
      </c>
    </row>
    <row r="266" spans="1:15" x14ac:dyDescent="0.25">
      <c r="A266" s="1">
        <v>45766</v>
      </c>
      <c r="B266" t="s">
        <v>16</v>
      </c>
      <c r="C266" t="s">
        <v>6</v>
      </c>
      <c r="D266" t="s">
        <v>34</v>
      </c>
      <c r="E266" t="s">
        <v>5</v>
      </c>
      <c r="F266">
        <v>29399</v>
      </c>
      <c r="G266">
        <v>676</v>
      </c>
      <c r="H266">
        <v>749</v>
      </c>
      <c r="I266">
        <v>1526</v>
      </c>
      <c r="J266" t="str">
        <f>IF(Sales_Data[[#This Row],[Forex Rate]]&lt;900,"Below 900",IF(Sales_Data[[#This Row],[Forex Rate]]&lt;1100,"900–1099",IF(Sales_Data[[#This Row],[Forex Rate]]&lt;1300,"1100–1299","1300+")))</f>
        <v>1300+</v>
      </c>
      <c r="K266">
        <v>653214</v>
      </c>
      <c r="L266">
        <v>22019851</v>
      </c>
      <c r="M266">
        <v>1492913</v>
      </c>
      <c r="N266" t="str">
        <f>IF(Sales_Data[[#This Row],[Profit]]&lt;0,"Loss","Profit")</f>
        <v>Profit</v>
      </c>
      <c r="O266" s="2">
        <v>6.77985059935238E-2</v>
      </c>
    </row>
    <row r="267" spans="1:15" x14ac:dyDescent="0.25">
      <c r="A267" s="1">
        <v>45779</v>
      </c>
      <c r="B267" t="s">
        <v>17</v>
      </c>
      <c r="C267" t="s">
        <v>9</v>
      </c>
      <c r="D267" t="s">
        <v>34</v>
      </c>
      <c r="E267" t="s">
        <v>4</v>
      </c>
      <c r="F267">
        <v>32624</v>
      </c>
      <c r="G267">
        <v>563</v>
      </c>
      <c r="H267">
        <v>683</v>
      </c>
      <c r="I267">
        <v>1401</v>
      </c>
      <c r="J267" t="str">
        <f>IF(Sales_Data[[#This Row],[Forex Rate]]&lt;900,"Below 900",IF(Sales_Data[[#This Row],[Forex Rate]]&lt;1100,"900–1099",IF(Sales_Data[[#This Row],[Forex Rate]]&lt;1300,"1100–1299","1300+")))</f>
        <v>1300+</v>
      </c>
      <c r="K267">
        <v>1100204</v>
      </c>
      <c r="L267">
        <v>22282192</v>
      </c>
      <c r="M267">
        <v>2814676</v>
      </c>
      <c r="N267" t="str">
        <f>IF(Sales_Data[[#This Row],[Profit]]&lt;0,"Loss","Profit")</f>
        <v>Profit</v>
      </c>
      <c r="O267" s="2">
        <v>0.12631952906608099</v>
      </c>
    </row>
    <row r="268" spans="1:15" x14ac:dyDescent="0.25">
      <c r="A268" s="1">
        <v>45673</v>
      </c>
      <c r="B268" t="s">
        <v>18</v>
      </c>
      <c r="C268" t="s">
        <v>6</v>
      </c>
      <c r="D268" t="s">
        <v>34</v>
      </c>
      <c r="E268" t="s">
        <v>4</v>
      </c>
      <c r="F268">
        <v>19983</v>
      </c>
      <c r="G268">
        <v>643</v>
      </c>
      <c r="H268">
        <v>702</v>
      </c>
      <c r="I268">
        <v>1365</v>
      </c>
      <c r="J268" t="str">
        <f>IF(Sales_Data[[#This Row],[Forex Rate]]&lt;900,"Below 900",IF(Sales_Data[[#This Row],[Forex Rate]]&lt;1100,"900–1099",IF(Sales_Data[[#This Row],[Forex Rate]]&lt;1300,"1100–1299","1300+")))</f>
        <v>1300+</v>
      </c>
      <c r="K268">
        <v>697375</v>
      </c>
      <c r="L268">
        <v>14028066</v>
      </c>
      <c r="M268">
        <v>481622</v>
      </c>
      <c r="N268" t="str">
        <f>IF(Sales_Data[[#This Row],[Profit]]&lt;0,"Loss","Profit")</f>
        <v>Profit</v>
      </c>
      <c r="O268" s="2">
        <v>3.43327440860344E-2</v>
      </c>
    </row>
    <row r="269" spans="1:15" x14ac:dyDescent="0.25">
      <c r="A269" s="1">
        <v>45730</v>
      </c>
      <c r="B269" t="s">
        <v>14</v>
      </c>
      <c r="C269" t="s">
        <v>9</v>
      </c>
      <c r="D269" t="s">
        <v>36</v>
      </c>
      <c r="E269" t="s">
        <v>8</v>
      </c>
      <c r="F269">
        <v>38452</v>
      </c>
      <c r="G269">
        <v>652</v>
      </c>
      <c r="H269">
        <v>704</v>
      </c>
      <c r="I269">
        <v>1456</v>
      </c>
      <c r="J269" t="str">
        <f>IF(Sales_Data[[#This Row],[Forex Rate]]&lt;900,"Below 900",IF(Sales_Data[[#This Row],[Forex Rate]]&lt;1100,"900–1099",IF(Sales_Data[[#This Row],[Forex Rate]]&lt;1300,"1100–1299","1300+")))</f>
        <v>1300+</v>
      </c>
      <c r="K269">
        <v>675852</v>
      </c>
      <c r="L269">
        <v>27070208</v>
      </c>
      <c r="M269">
        <v>1323652</v>
      </c>
      <c r="N269" t="str">
        <f>IF(Sales_Data[[#This Row],[Profit]]&lt;0,"Loss","Profit")</f>
        <v>Profit</v>
      </c>
      <c r="O269" s="2">
        <v>4.8897001456361201E-2</v>
      </c>
    </row>
    <row r="270" spans="1:15" x14ac:dyDescent="0.25">
      <c r="A270" s="1">
        <v>45678</v>
      </c>
      <c r="B270" t="s">
        <v>18</v>
      </c>
      <c r="C270" t="s">
        <v>3</v>
      </c>
      <c r="D270" t="s">
        <v>35</v>
      </c>
      <c r="E270" t="s">
        <v>11</v>
      </c>
      <c r="F270">
        <v>19956</v>
      </c>
      <c r="G270">
        <v>507</v>
      </c>
      <c r="H270">
        <v>628</v>
      </c>
      <c r="I270">
        <v>1400</v>
      </c>
      <c r="J270" t="str">
        <f>IF(Sales_Data[[#This Row],[Forex Rate]]&lt;900,"Below 900",IF(Sales_Data[[#This Row],[Forex Rate]]&lt;1100,"900–1099",IF(Sales_Data[[#This Row],[Forex Rate]]&lt;1300,"1100–1299","1300+")))</f>
        <v>1300+</v>
      </c>
      <c r="K270">
        <v>746240</v>
      </c>
      <c r="L270">
        <v>12532368</v>
      </c>
      <c r="M270">
        <v>1668436</v>
      </c>
      <c r="N270" t="str">
        <f>IF(Sales_Data[[#This Row],[Profit]]&lt;0,"Loss","Profit")</f>
        <v>Profit</v>
      </c>
      <c r="O270" s="2">
        <v>0.13313014747093299</v>
      </c>
    </row>
    <row r="271" spans="1:15" x14ac:dyDescent="0.25">
      <c r="A271" s="1">
        <v>45663</v>
      </c>
      <c r="B271" t="s">
        <v>18</v>
      </c>
      <c r="C271" t="s">
        <v>6</v>
      </c>
      <c r="D271" t="s">
        <v>34</v>
      </c>
      <c r="E271" t="s">
        <v>4</v>
      </c>
      <c r="F271">
        <v>19983</v>
      </c>
      <c r="G271">
        <v>630</v>
      </c>
      <c r="H271">
        <v>493</v>
      </c>
      <c r="I271">
        <v>1210</v>
      </c>
      <c r="J271" t="str">
        <f>IF(Sales_Data[[#This Row],[Forex Rate]]&lt;900,"Below 900",IF(Sales_Data[[#This Row],[Forex Rate]]&lt;1100,"900–1099",IF(Sales_Data[[#This Row],[Forex Rate]]&lt;1300,"1100–1299","1300+")))</f>
        <v>1100–1299</v>
      </c>
      <c r="K271">
        <v>749435</v>
      </c>
      <c r="L271">
        <v>9851619</v>
      </c>
      <c r="M271">
        <v>-3487106</v>
      </c>
      <c r="N271" t="str">
        <f>IF(Sales_Data[[#This Row],[Profit]]&lt;0,"Loss","Profit")</f>
        <v>Loss</v>
      </c>
      <c r="O271" s="2">
        <v>-0.353962734450043</v>
      </c>
    </row>
    <row r="272" spans="1:15" x14ac:dyDescent="0.25">
      <c r="A272" s="1">
        <v>45679</v>
      </c>
      <c r="B272" t="s">
        <v>18</v>
      </c>
      <c r="C272" t="s">
        <v>9</v>
      </c>
      <c r="D272" t="s">
        <v>35</v>
      </c>
      <c r="E272" t="s">
        <v>11</v>
      </c>
      <c r="F272">
        <v>25274</v>
      </c>
      <c r="G272">
        <v>641</v>
      </c>
      <c r="H272">
        <v>666</v>
      </c>
      <c r="I272">
        <v>1343</v>
      </c>
      <c r="J272" t="str">
        <f>IF(Sales_Data[[#This Row],[Forex Rate]]&lt;900,"Below 900",IF(Sales_Data[[#This Row],[Forex Rate]]&lt;1100,"900–1099",IF(Sales_Data[[#This Row],[Forex Rate]]&lt;1300,"1100–1299","1300+")))</f>
        <v>1300+</v>
      </c>
      <c r="K272">
        <v>699284</v>
      </c>
      <c r="L272">
        <v>16832484</v>
      </c>
      <c r="M272">
        <v>-67434</v>
      </c>
      <c r="N272" t="str">
        <f>IF(Sales_Data[[#This Row],[Profit]]&lt;0,"Loss","Profit")</f>
        <v>Loss</v>
      </c>
      <c r="O272" s="2">
        <v>-4.0061823317342803E-3</v>
      </c>
    </row>
    <row r="273" spans="1:15" x14ac:dyDescent="0.25">
      <c r="A273" s="1">
        <v>45692</v>
      </c>
      <c r="B273" t="s">
        <v>15</v>
      </c>
      <c r="C273" t="s">
        <v>3</v>
      </c>
      <c r="D273" t="s">
        <v>35</v>
      </c>
      <c r="E273" t="s">
        <v>7</v>
      </c>
      <c r="F273">
        <v>44163</v>
      </c>
      <c r="G273">
        <v>550</v>
      </c>
      <c r="H273">
        <v>646</v>
      </c>
      <c r="I273">
        <v>1564</v>
      </c>
      <c r="J273" t="str">
        <f>IF(Sales_Data[[#This Row],[Forex Rate]]&lt;900,"Below 900",IF(Sales_Data[[#This Row],[Forex Rate]]&lt;1100,"900–1099",IF(Sales_Data[[#This Row],[Forex Rate]]&lt;1300,"1100–1299","1300+")))</f>
        <v>1300+</v>
      </c>
      <c r="K273">
        <v>293904</v>
      </c>
      <c r="L273">
        <v>28529298</v>
      </c>
      <c r="M273">
        <v>3945744</v>
      </c>
      <c r="N273" t="str">
        <f>IF(Sales_Data[[#This Row],[Profit]]&lt;0,"Loss","Profit")</f>
        <v>Profit</v>
      </c>
      <c r="O273" s="2">
        <v>0.13830498037491101</v>
      </c>
    </row>
    <row r="274" spans="1:15" x14ac:dyDescent="0.25">
      <c r="A274" s="1">
        <v>45724</v>
      </c>
      <c r="B274" t="s">
        <v>14</v>
      </c>
      <c r="C274" t="s">
        <v>6</v>
      </c>
      <c r="D274" t="s">
        <v>35</v>
      </c>
      <c r="E274" t="s">
        <v>7</v>
      </c>
      <c r="F274">
        <v>24894</v>
      </c>
      <c r="G274">
        <v>577</v>
      </c>
      <c r="H274">
        <v>625</v>
      </c>
      <c r="I274">
        <v>1397</v>
      </c>
      <c r="J274" t="str">
        <f>IF(Sales_Data[[#This Row],[Forex Rate]]&lt;900,"Below 900",IF(Sales_Data[[#This Row],[Forex Rate]]&lt;1100,"900–1099",IF(Sales_Data[[#This Row],[Forex Rate]]&lt;1300,"1100–1299","1300+")))</f>
        <v>1300+</v>
      </c>
      <c r="K274">
        <v>209576</v>
      </c>
      <c r="L274">
        <v>15558750</v>
      </c>
      <c r="M274">
        <v>985336</v>
      </c>
      <c r="N274" t="str">
        <f>IF(Sales_Data[[#This Row],[Profit]]&lt;0,"Loss","Profit")</f>
        <v>Profit</v>
      </c>
      <c r="O274" s="2">
        <v>6.3330023298786897E-2</v>
      </c>
    </row>
    <row r="275" spans="1:15" x14ac:dyDescent="0.25">
      <c r="A275" s="1">
        <v>45659</v>
      </c>
      <c r="B275" t="s">
        <v>18</v>
      </c>
      <c r="C275" t="s">
        <v>6</v>
      </c>
      <c r="D275" t="s">
        <v>36</v>
      </c>
      <c r="E275" t="s">
        <v>8</v>
      </c>
      <c r="F275">
        <v>17892</v>
      </c>
      <c r="G275">
        <v>576</v>
      </c>
      <c r="H275">
        <v>782</v>
      </c>
      <c r="I275">
        <v>1531</v>
      </c>
      <c r="J275" t="str">
        <f>IF(Sales_Data[[#This Row],[Forex Rate]]&lt;900,"Below 900",IF(Sales_Data[[#This Row],[Forex Rate]]&lt;1100,"900–1099",IF(Sales_Data[[#This Row],[Forex Rate]]&lt;1300,"1100–1299","1300+")))</f>
        <v>1300+</v>
      </c>
      <c r="K275">
        <v>642750</v>
      </c>
      <c r="L275">
        <v>13991544</v>
      </c>
      <c r="M275">
        <v>3043002</v>
      </c>
      <c r="N275" t="str">
        <f>IF(Sales_Data[[#This Row],[Profit]]&lt;0,"Loss","Profit")</f>
        <v>Profit</v>
      </c>
      <c r="O275" s="2">
        <v>0.21748864885819599</v>
      </c>
    </row>
    <row r="276" spans="1:15" x14ac:dyDescent="0.25">
      <c r="A276" s="1">
        <v>45730</v>
      </c>
      <c r="B276" t="s">
        <v>14</v>
      </c>
      <c r="C276" t="s">
        <v>3</v>
      </c>
      <c r="D276" t="s">
        <v>36</v>
      </c>
      <c r="E276" t="s">
        <v>10</v>
      </c>
      <c r="F276">
        <v>32060</v>
      </c>
      <c r="G276">
        <v>601</v>
      </c>
      <c r="H276">
        <v>655</v>
      </c>
      <c r="I276">
        <v>1309</v>
      </c>
      <c r="J276" t="str">
        <f>IF(Sales_Data[[#This Row],[Forex Rate]]&lt;900,"Below 900",IF(Sales_Data[[#This Row],[Forex Rate]]&lt;1100,"900–1099",IF(Sales_Data[[#This Row],[Forex Rate]]&lt;1300,"1100–1299","1300+")))</f>
        <v>1300+</v>
      </c>
      <c r="K276">
        <v>536219</v>
      </c>
      <c r="L276">
        <v>20999300</v>
      </c>
      <c r="M276">
        <v>1195021</v>
      </c>
      <c r="N276" t="str">
        <f>IF(Sales_Data[[#This Row],[Profit]]&lt;0,"Loss","Profit")</f>
        <v>Profit</v>
      </c>
      <c r="O276" s="2">
        <v>5.6907658826722801E-2</v>
      </c>
    </row>
    <row r="277" spans="1:15" x14ac:dyDescent="0.25">
      <c r="A277" s="1">
        <v>45705</v>
      </c>
      <c r="B277" t="s">
        <v>15</v>
      </c>
      <c r="C277" t="s">
        <v>9</v>
      </c>
      <c r="D277" t="s">
        <v>36</v>
      </c>
      <c r="E277" t="s">
        <v>8</v>
      </c>
      <c r="F277">
        <v>23488</v>
      </c>
      <c r="G277">
        <v>635</v>
      </c>
      <c r="H277">
        <v>654</v>
      </c>
      <c r="I277">
        <v>1325</v>
      </c>
      <c r="J277" t="str">
        <f>IF(Sales_Data[[#This Row],[Forex Rate]]&lt;900,"Below 900",IF(Sales_Data[[#This Row],[Forex Rate]]&lt;1100,"900–1099",IF(Sales_Data[[#This Row],[Forex Rate]]&lt;1300,"1100–1299","1300+")))</f>
        <v>1300+</v>
      </c>
      <c r="K277">
        <v>675852</v>
      </c>
      <c r="L277">
        <v>15361152</v>
      </c>
      <c r="M277">
        <v>-229580</v>
      </c>
      <c r="N277" t="str">
        <f>IF(Sales_Data[[#This Row],[Profit]]&lt;0,"Loss","Profit")</f>
        <v>Loss</v>
      </c>
      <c r="O277" s="2">
        <v>-1.4945493671307999E-2</v>
      </c>
    </row>
    <row r="278" spans="1:15" x14ac:dyDescent="0.25">
      <c r="A278" s="1">
        <v>45695</v>
      </c>
      <c r="B278" t="s">
        <v>15</v>
      </c>
      <c r="C278" t="s">
        <v>9</v>
      </c>
      <c r="D278" t="s">
        <v>35</v>
      </c>
      <c r="E278" t="s">
        <v>11</v>
      </c>
      <c r="F278">
        <v>22465</v>
      </c>
      <c r="G278">
        <v>474</v>
      </c>
      <c r="H278">
        <v>574</v>
      </c>
      <c r="I278">
        <v>1486</v>
      </c>
      <c r="J278" t="str">
        <f>IF(Sales_Data[[#This Row],[Forex Rate]]&lt;900,"Below 900",IF(Sales_Data[[#This Row],[Forex Rate]]&lt;1100,"900–1099",IF(Sales_Data[[#This Row],[Forex Rate]]&lt;1300,"1100–1299","1300+")))</f>
        <v>1300+</v>
      </c>
      <c r="K278">
        <v>1008688</v>
      </c>
      <c r="L278">
        <v>12894910</v>
      </c>
      <c r="M278">
        <v>1237812</v>
      </c>
      <c r="N278" t="str">
        <f>IF(Sales_Data[[#This Row],[Profit]]&lt;0,"Loss","Profit")</f>
        <v>Profit</v>
      </c>
      <c r="O278" s="2">
        <v>9.5992294634084305E-2</v>
      </c>
    </row>
    <row r="279" spans="1:15" x14ac:dyDescent="0.25">
      <c r="A279" s="1">
        <v>45775</v>
      </c>
      <c r="B279" t="s">
        <v>16</v>
      </c>
      <c r="C279" t="s">
        <v>3</v>
      </c>
      <c r="D279" t="s">
        <v>34</v>
      </c>
      <c r="E279" t="s">
        <v>4</v>
      </c>
      <c r="F279">
        <v>18660</v>
      </c>
      <c r="G279">
        <v>708</v>
      </c>
      <c r="H279">
        <v>736</v>
      </c>
      <c r="I279">
        <v>1301</v>
      </c>
      <c r="J279" t="str">
        <f>IF(Sales_Data[[#This Row],[Forex Rate]]&lt;900,"Below 900",IF(Sales_Data[[#This Row],[Forex Rate]]&lt;1100,"900–1099",IF(Sales_Data[[#This Row],[Forex Rate]]&lt;1300,"1100–1299","1300+")))</f>
        <v>1300+</v>
      </c>
      <c r="K279">
        <v>577934</v>
      </c>
      <c r="L279">
        <v>13733760</v>
      </c>
      <c r="M279">
        <v>-55454</v>
      </c>
      <c r="N279" t="str">
        <f>IF(Sales_Data[[#This Row],[Profit]]&lt;0,"Loss","Profit")</f>
        <v>Loss</v>
      </c>
      <c r="O279" s="2">
        <v>-4.0377871755440603E-3</v>
      </c>
    </row>
    <row r="280" spans="1:15" x14ac:dyDescent="0.25">
      <c r="A280" s="1">
        <v>45718</v>
      </c>
      <c r="B280" t="s">
        <v>14</v>
      </c>
      <c r="C280" t="s">
        <v>3</v>
      </c>
      <c r="D280" t="s">
        <v>34</v>
      </c>
      <c r="E280" t="s">
        <v>4</v>
      </c>
      <c r="F280">
        <v>26267</v>
      </c>
      <c r="G280">
        <v>595</v>
      </c>
      <c r="H280">
        <v>692</v>
      </c>
      <c r="I280">
        <v>1405</v>
      </c>
      <c r="J280" t="str">
        <f>IF(Sales_Data[[#This Row],[Forex Rate]]&lt;900,"Below 900",IF(Sales_Data[[#This Row],[Forex Rate]]&lt;1100,"900–1099",IF(Sales_Data[[#This Row],[Forex Rate]]&lt;1300,"1100–1299","1300+")))</f>
        <v>1300+</v>
      </c>
      <c r="K280">
        <v>362520</v>
      </c>
      <c r="L280">
        <v>18176764</v>
      </c>
      <c r="M280">
        <v>2185379</v>
      </c>
      <c r="N280" t="str">
        <f>IF(Sales_Data[[#This Row],[Profit]]&lt;0,"Loss","Profit")</f>
        <v>Profit</v>
      </c>
      <c r="O280" s="2">
        <v>0.120229266331455</v>
      </c>
    </row>
    <row r="281" spans="1:15" x14ac:dyDescent="0.25">
      <c r="A281" s="1">
        <v>45785</v>
      </c>
      <c r="B281" t="s">
        <v>17</v>
      </c>
      <c r="C281" t="s">
        <v>9</v>
      </c>
      <c r="D281" t="s">
        <v>34</v>
      </c>
      <c r="E281" t="s">
        <v>4</v>
      </c>
      <c r="F281">
        <v>27178</v>
      </c>
      <c r="G281">
        <v>563</v>
      </c>
      <c r="H281">
        <v>598</v>
      </c>
      <c r="I281">
        <v>1401</v>
      </c>
      <c r="J281" t="str">
        <f>IF(Sales_Data[[#This Row],[Forex Rate]]&lt;900,"Below 900",IF(Sales_Data[[#This Row],[Forex Rate]]&lt;1100,"900–1099",IF(Sales_Data[[#This Row],[Forex Rate]]&lt;1300,"1100–1299","1300+")))</f>
        <v>1300+</v>
      </c>
      <c r="K281">
        <v>875960</v>
      </c>
      <c r="L281">
        <v>16252444</v>
      </c>
      <c r="M281">
        <v>75270</v>
      </c>
      <c r="N281" t="str">
        <f>IF(Sales_Data[[#This Row],[Profit]]&lt;0,"Loss","Profit")</f>
        <v>Profit</v>
      </c>
      <c r="O281" s="2">
        <v>4.6313034519608297E-3</v>
      </c>
    </row>
    <row r="282" spans="1:15" x14ac:dyDescent="0.25">
      <c r="A282" s="1">
        <v>45663</v>
      </c>
      <c r="B282" t="s">
        <v>18</v>
      </c>
      <c r="C282" t="s">
        <v>6</v>
      </c>
      <c r="D282" t="s">
        <v>36</v>
      </c>
      <c r="E282" t="s">
        <v>8</v>
      </c>
      <c r="F282">
        <v>13829</v>
      </c>
      <c r="G282">
        <v>566</v>
      </c>
      <c r="H282">
        <v>694</v>
      </c>
      <c r="I282">
        <v>1275</v>
      </c>
      <c r="J282" t="str">
        <f>IF(Sales_Data[[#This Row],[Forex Rate]]&lt;900,"Below 900",IF(Sales_Data[[#This Row],[Forex Rate]]&lt;1100,"900–1099",IF(Sales_Data[[#This Row],[Forex Rate]]&lt;1300,"1100–1299","1300+")))</f>
        <v>1100–1299</v>
      </c>
      <c r="K282">
        <v>967979</v>
      </c>
      <c r="L282">
        <v>9597326</v>
      </c>
      <c r="M282">
        <v>802133</v>
      </c>
      <c r="N282" t="str">
        <f>IF(Sales_Data[[#This Row],[Profit]]&lt;0,"Loss","Profit")</f>
        <v>Profit</v>
      </c>
      <c r="O282" s="2">
        <v>8.3578801011865198E-2</v>
      </c>
    </row>
    <row r="283" spans="1:15" x14ac:dyDescent="0.25">
      <c r="A283" s="1">
        <v>45675</v>
      </c>
      <c r="B283" t="s">
        <v>18</v>
      </c>
      <c r="C283" t="s">
        <v>6</v>
      </c>
      <c r="D283" t="s">
        <v>36</v>
      </c>
      <c r="E283" t="s">
        <v>8</v>
      </c>
      <c r="F283">
        <v>24377</v>
      </c>
      <c r="G283">
        <v>576</v>
      </c>
      <c r="H283">
        <v>638</v>
      </c>
      <c r="I283">
        <v>1448</v>
      </c>
      <c r="J283" t="str">
        <f>IF(Sales_Data[[#This Row],[Forex Rate]]&lt;900,"Below 900",IF(Sales_Data[[#This Row],[Forex Rate]]&lt;1100,"900–1099",IF(Sales_Data[[#This Row],[Forex Rate]]&lt;1300,"1100–1299","1300+")))</f>
        <v>1300+</v>
      </c>
      <c r="K283">
        <v>1013712</v>
      </c>
      <c r="L283">
        <v>15552526</v>
      </c>
      <c r="M283">
        <v>497662</v>
      </c>
      <c r="N283" t="str">
        <f>IF(Sales_Data[[#This Row],[Profit]]&lt;0,"Loss","Profit")</f>
        <v>Profit</v>
      </c>
      <c r="O283" s="2">
        <v>3.1998789135604097E-2</v>
      </c>
    </row>
    <row r="284" spans="1:15" x14ac:dyDescent="0.25">
      <c r="A284" s="1">
        <v>45826</v>
      </c>
      <c r="B284" t="s">
        <v>19</v>
      </c>
      <c r="C284" t="s">
        <v>6</v>
      </c>
      <c r="D284" t="s">
        <v>36</v>
      </c>
      <c r="E284" t="s">
        <v>8</v>
      </c>
      <c r="F284">
        <v>17892</v>
      </c>
      <c r="G284">
        <v>574</v>
      </c>
      <c r="H284">
        <v>577</v>
      </c>
      <c r="I284">
        <v>1389</v>
      </c>
      <c r="J284" t="str">
        <f>IF(Sales_Data[[#This Row],[Forex Rate]]&lt;900,"Below 900",IF(Sales_Data[[#This Row],[Forex Rate]]&lt;1100,"900–1099",IF(Sales_Data[[#This Row],[Forex Rate]]&lt;1300,"1100–1299","1300+")))</f>
        <v>1300+</v>
      </c>
      <c r="K284">
        <v>890897</v>
      </c>
      <c r="L284">
        <v>10323684</v>
      </c>
      <c r="M284">
        <v>-837221</v>
      </c>
      <c r="N284" t="str">
        <f>IF(Sales_Data[[#This Row],[Profit]]&lt;0,"Loss","Profit")</f>
        <v>Loss</v>
      </c>
      <c r="O284" s="2">
        <v>-8.1097116107002098E-2</v>
      </c>
    </row>
    <row r="285" spans="1:15" x14ac:dyDescent="0.25">
      <c r="A285" s="1">
        <v>45709</v>
      </c>
      <c r="B285" t="s">
        <v>15</v>
      </c>
      <c r="C285" t="s">
        <v>9</v>
      </c>
      <c r="D285" t="s">
        <v>34</v>
      </c>
      <c r="E285" t="s">
        <v>4</v>
      </c>
      <c r="F285">
        <v>36809</v>
      </c>
      <c r="G285">
        <v>612</v>
      </c>
      <c r="H285">
        <v>687</v>
      </c>
      <c r="I285">
        <v>1391</v>
      </c>
      <c r="J285" t="str">
        <f>IF(Sales_Data[[#This Row],[Forex Rate]]&lt;900,"Below 900",IF(Sales_Data[[#This Row],[Forex Rate]]&lt;1100,"900–1099",IF(Sales_Data[[#This Row],[Forex Rate]]&lt;1300,"1100–1299","1300+")))</f>
        <v>1300+</v>
      </c>
      <c r="K285">
        <v>274316</v>
      </c>
      <c r="L285">
        <v>25287783</v>
      </c>
      <c r="M285">
        <v>2486359</v>
      </c>
      <c r="N285" t="str">
        <f>IF(Sales_Data[[#This Row],[Profit]]&lt;0,"Loss","Profit")</f>
        <v>Profit</v>
      </c>
      <c r="O285" s="2">
        <v>9.8322537804124602E-2</v>
      </c>
    </row>
    <row r="286" spans="1:15" x14ac:dyDescent="0.25">
      <c r="A286" s="1">
        <v>45777</v>
      </c>
      <c r="B286" t="s">
        <v>16</v>
      </c>
      <c r="C286" t="s">
        <v>3</v>
      </c>
      <c r="D286" t="s">
        <v>35</v>
      </c>
      <c r="E286" t="s">
        <v>11</v>
      </c>
      <c r="F286">
        <v>24418</v>
      </c>
      <c r="G286">
        <v>545</v>
      </c>
      <c r="H286">
        <v>476</v>
      </c>
      <c r="I286">
        <v>1494</v>
      </c>
      <c r="J286" t="str">
        <f>IF(Sales_Data[[#This Row],[Forex Rate]]&lt;900,"Below 900",IF(Sales_Data[[#This Row],[Forex Rate]]&lt;1100,"900–1099",IF(Sales_Data[[#This Row],[Forex Rate]]&lt;1300,"1100–1299","1300+")))</f>
        <v>1300+</v>
      </c>
      <c r="K286">
        <v>281721</v>
      </c>
      <c r="L286">
        <v>11622968</v>
      </c>
      <c r="M286">
        <v>-1966563</v>
      </c>
      <c r="N286" t="str">
        <f>IF(Sales_Data[[#This Row],[Profit]]&lt;0,"Loss","Profit")</f>
        <v>Loss</v>
      </c>
      <c r="O286" s="2">
        <v>-0.16919628446021701</v>
      </c>
    </row>
    <row r="287" spans="1:15" x14ac:dyDescent="0.25">
      <c r="A287" s="1">
        <v>45717</v>
      </c>
      <c r="B287" t="s">
        <v>14</v>
      </c>
      <c r="C287" t="s">
        <v>3</v>
      </c>
      <c r="D287" t="s">
        <v>34</v>
      </c>
      <c r="E287" t="s">
        <v>4</v>
      </c>
      <c r="F287">
        <v>24580</v>
      </c>
      <c r="G287">
        <v>617</v>
      </c>
      <c r="H287">
        <v>688</v>
      </c>
      <c r="I287">
        <v>1405</v>
      </c>
      <c r="J287" t="str">
        <f>IF(Sales_Data[[#This Row],[Forex Rate]]&lt;900,"Below 900",IF(Sales_Data[[#This Row],[Forex Rate]]&lt;1100,"900–1099",IF(Sales_Data[[#This Row],[Forex Rate]]&lt;1300,"1100–1299","1300+")))</f>
        <v>1300+</v>
      </c>
      <c r="K287">
        <v>697375</v>
      </c>
      <c r="L287">
        <v>16911040</v>
      </c>
      <c r="M287">
        <v>1047805</v>
      </c>
      <c r="N287" t="str">
        <f>IF(Sales_Data[[#This Row],[Profit]]&lt;0,"Loss","Profit")</f>
        <v>Profit</v>
      </c>
      <c r="O287" s="2">
        <v>6.1959820330387702E-2</v>
      </c>
    </row>
    <row r="288" spans="1:15" x14ac:dyDescent="0.25">
      <c r="A288" s="1">
        <v>45704</v>
      </c>
      <c r="B288" t="s">
        <v>15</v>
      </c>
      <c r="C288" t="s">
        <v>6</v>
      </c>
      <c r="D288" t="s">
        <v>34</v>
      </c>
      <c r="E288" t="s">
        <v>4</v>
      </c>
      <c r="F288">
        <v>19983</v>
      </c>
      <c r="G288">
        <v>720</v>
      </c>
      <c r="H288">
        <v>856</v>
      </c>
      <c r="I288">
        <v>1391</v>
      </c>
      <c r="J288" t="str">
        <f>IF(Sales_Data[[#This Row],[Forex Rate]]&lt;900,"Below 900",IF(Sales_Data[[#This Row],[Forex Rate]]&lt;1100,"900–1099",IF(Sales_Data[[#This Row],[Forex Rate]]&lt;1300,"1100–1299","1300+")))</f>
        <v>1300+</v>
      </c>
      <c r="K288">
        <v>697375</v>
      </c>
      <c r="L288">
        <v>17105448</v>
      </c>
      <c r="M288">
        <v>2020313</v>
      </c>
      <c r="N288" t="str">
        <f>IF(Sales_Data[[#This Row],[Profit]]&lt;0,"Loss","Profit")</f>
        <v>Profit</v>
      </c>
      <c r="O288" s="2">
        <v>0.11810932984625699</v>
      </c>
    </row>
    <row r="289" spans="1:15" x14ac:dyDescent="0.25">
      <c r="A289" s="1">
        <v>45802</v>
      </c>
      <c r="B289" t="s">
        <v>17</v>
      </c>
      <c r="C289" t="s">
        <v>6</v>
      </c>
      <c r="D289" t="s">
        <v>36</v>
      </c>
      <c r="E289" t="s">
        <v>8</v>
      </c>
      <c r="F289">
        <v>17892</v>
      </c>
      <c r="G289">
        <v>708</v>
      </c>
      <c r="H289">
        <v>824</v>
      </c>
      <c r="I289">
        <v>1401</v>
      </c>
      <c r="J289" t="str">
        <f>IF(Sales_Data[[#This Row],[Forex Rate]]&lt;900,"Below 900",IF(Sales_Data[[#This Row],[Forex Rate]]&lt;1100,"900–1099",IF(Sales_Data[[#This Row],[Forex Rate]]&lt;1300,"1100–1299","1300+")))</f>
        <v>1300+</v>
      </c>
      <c r="K289">
        <v>1133572</v>
      </c>
      <c r="L289">
        <v>14743008</v>
      </c>
      <c r="M289">
        <v>941900</v>
      </c>
      <c r="N289" t="str">
        <f>IF(Sales_Data[[#This Row],[Profit]]&lt;0,"Loss","Profit")</f>
        <v>Profit</v>
      </c>
      <c r="O289" s="2">
        <v>6.3887912154697302E-2</v>
      </c>
    </row>
    <row r="290" spans="1:15" x14ac:dyDescent="0.25">
      <c r="A290" s="1">
        <v>45712</v>
      </c>
      <c r="B290" t="s">
        <v>15</v>
      </c>
      <c r="C290" t="s">
        <v>9</v>
      </c>
      <c r="D290" t="s">
        <v>35</v>
      </c>
      <c r="E290" t="s">
        <v>11</v>
      </c>
      <c r="F290">
        <v>22371</v>
      </c>
      <c r="G290">
        <v>532</v>
      </c>
      <c r="H290">
        <v>661</v>
      </c>
      <c r="I290">
        <v>1262</v>
      </c>
      <c r="J290" t="str">
        <f>IF(Sales_Data[[#This Row],[Forex Rate]]&lt;900,"Below 900",IF(Sales_Data[[#This Row],[Forex Rate]]&lt;1100,"900–1099",IF(Sales_Data[[#This Row],[Forex Rate]]&lt;1300,"1100–1299","1300+")))</f>
        <v>1100–1299</v>
      </c>
      <c r="K290">
        <v>642323</v>
      </c>
      <c r="L290">
        <v>14787231</v>
      </c>
      <c r="M290">
        <v>2243536</v>
      </c>
      <c r="N290" t="str">
        <f>IF(Sales_Data[[#This Row],[Profit]]&lt;0,"Loss","Profit")</f>
        <v>Profit</v>
      </c>
      <c r="O290" s="2">
        <v>0.151721170785795</v>
      </c>
    </row>
    <row r="291" spans="1:15" x14ac:dyDescent="0.25">
      <c r="A291" s="1">
        <v>45734</v>
      </c>
      <c r="B291" t="s">
        <v>14</v>
      </c>
      <c r="C291" t="s">
        <v>9</v>
      </c>
      <c r="D291" t="s">
        <v>34</v>
      </c>
      <c r="E291" t="s">
        <v>5</v>
      </c>
      <c r="F291">
        <v>22232</v>
      </c>
      <c r="G291">
        <v>540</v>
      </c>
      <c r="H291">
        <v>596</v>
      </c>
      <c r="I291">
        <v>1405</v>
      </c>
      <c r="J291" t="str">
        <f>IF(Sales_Data[[#This Row],[Forex Rate]]&lt;900,"Below 900",IF(Sales_Data[[#This Row],[Forex Rate]]&lt;1100,"900–1099",IF(Sales_Data[[#This Row],[Forex Rate]]&lt;1300,"1100–1299","1300+")))</f>
        <v>1300+</v>
      </c>
      <c r="K291">
        <v>936989</v>
      </c>
      <c r="L291">
        <v>13250272</v>
      </c>
      <c r="M291">
        <v>308003</v>
      </c>
      <c r="N291" t="str">
        <f>IF(Sales_Data[[#This Row],[Profit]]&lt;0,"Loss","Profit")</f>
        <v>Profit</v>
      </c>
      <c r="O291" s="2">
        <v>2.32450322529228E-2</v>
      </c>
    </row>
    <row r="292" spans="1:15" x14ac:dyDescent="0.25">
      <c r="A292" s="1">
        <v>45667</v>
      </c>
      <c r="B292" t="s">
        <v>18</v>
      </c>
      <c r="C292" t="s">
        <v>3</v>
      </c>
      <c r="D292" t="s">
        <v>36</v>
      </c>
      <c r="E292" t="s">
        <v>10</v>
      </c>
      <c r="F292">
        <v>8664</v>
      </c>
      <c r="G292">
        <v>665</v>
      </c>
      <c r="H292">
        <v>777</v>
      </c>
      <c r="I292">
        <v>1499</v>
      </c>
      <c r="J292" t="str">
        <f>IF(Sales_Data[[#This Row],[Forex Rate]]&lt;900,"Below 900",IF(Sales_Data[[#This Row],[Forex Rate]]&lt;1100,"900–1099",IF(Sales_Data[[#This Row],[Forex Rate]]&lt;1300,"1100–1299","1300+")))</f>
        <v>1300+</v>
      </c>
      <c r="K292">
        <v>743995</v>
      </c>
      <c r="L292">
        <v>6731928</v>
      </c>
      <c r="M292">
        <v>226373</v>
      </c>
      <c r="N292" t="str">
        <f>IF(Sales_Data[[#This Row],[Profit]]&lt;0,"Loss","Profit")</f>
        <v>Profit</v>
      </c>
      <c r="O292" s="2">
        <v>3.36267708151365E-2</v>
      </c>
    </row>
    <row r="293" spans="1:15" x14ac:dyDescent="0.25">
      <c r="A293" s="1">
        <v>45792</v>
      </c>
      <c r="B293" t="s">
        <v>17</v>
      </c>
      <c r="C293" t="s">
        <v>6</v>
      </c>
      <c r="D293" t="s">
        <v>34</v>
      </c>
      <c r="E293" t="s">
        <v>5</v>
      </c>
      <c r="F293">
        <v>21280</v>
      </c>
      <c r="G293">
        <v>465</v>
      </c>
      <c r="H293">
        <v>753</v>
      </c>
      <c r="I293">
        <v>1401</v>
      </c>
      <c r="J293" t="str">
        <f>IF(Sales_Data[[#This Row],[Forex Rate]]&lt;900,"Below 900",IF(Sales_Data[[#This Row],[Forex Rate]]&lt;1100,"900–1099",IF(Sales_Data[[#This Row],[Forex Rate]]&lt;1300,"1100–1299","1300+")))</f>
        <v>1300+</v>
      </c>
      <c r="K293">
        <v>729247</v>
      </c>
      <c r="L293">
        <v>16023840</v>
      </c>
      <c r="M293">
        <v>5399393</v>
      </c>
      <c r="N293" t="str">
        <f>IF(Sales_Data[[#This Row],[Profit]]&lt;0,"Loss","Profit")</f>
        <v>Profit</v>
      </c>
      <c r="O293" s="2">
        <v>0.33695999211175398</v>
      </c>
    </row>
    <row r="294" spans="1:15" x14ac:dyDescent="0.25">
      <c r="A294" s="1">
        <v>45695</v>
      </c>
      <c r="B294" t="s">
        <v>15</v>
      </c>
      <c r="C294" t="s">
        <v>6</v>
      </c>
      <c r="D294" t="s">
        <v>35</v>
      </c>
      <c r="E294" t="s">
        <v>7</v>
      </c>
      <c r="F294">
        <v>10409</v>
      </c>
      <c r="G294">
        <v>435</v>
      </c>
      <c r="H294">
        <v>629</v>
      </c>
      <c r="I294">
        <v>1510</v>
      </c>
      <c r="J294" t="str">
        <f>IF(Sales_Data[[#This Row],[Forex Rate]]&lt;900,"Below 900",IF(Sales_Data[[#This Row],[Forex Rate]]&lt;1100,"900–1099",IF(Sales_Data[[#This Row],[Forex Rate]]&lt;1300,"1100–1299","1300+")))</f>
        <v>1300+</v>
      </c>
      <c r="K294">
        <v>704283</v>
      </c>
      <c r="L294">
        <v>6547261</v>
      </c>
      <c r="M294">
        <v>1315063</v>
      </c>
      <c r="N294" t="str">
        <f>IF(Sales_Data[[#This Row],[Profit]]&lt;0,"Loss","Profit")</f>
        <v>Profit</v>
      </c>
      <c r="O294" s="2">
        <v>0.20085696904400199</v>
      </c>
    </row>
    <row r="295" spans="1:15" x14ac:dyDescent="0.25">
      <c r="A295" s="1">
        <v>45801</v>
      </c>
      <c r="B295" t="s">
        <v>17</v>
      </c>
      <c r="C295" t="s">
        <v>6</v>
      </c>
      <c r="D295" t="s">
        <v>35</v>
      </c>
      <c r="E295" t="s">
        <v>11</v>
      </c>
      <c r="F295">
        <v>9695</v>
      </c>
      <c r="G295">
        <v>595</v>
      </c>
      <c r="H295">
        <v>490</v>
      </c>
      <c r="I295">
        <v>1339</v>
      </c>
      <c r="J295" t="str">
        <f>IF(Sales_Data[[#This Row],[Forex Rate]]&lt;900,"Below 900",IF(Sales_Data[[#This Row],[Forex Rate]]&lt;1100,"900–1099",IF(Sales_Data[[#This Row],[Forex Rate]]&lt;1300,"1100–1299","1300+")))</f>
        <v>1300+</v>
      </c>
      <c r="K295">
        <v>642323</v>
      </c>
      <c r="L295">
        <v>4750550</v>
      </c>
      <c r="M295">
        <v>-1660298</v>
      </c>
      <c r="N295" t="str">
        <f>IF(Sales_Data[[#This Row],[Profit]]&lt;0,"Loss","Profit")</f>
        <v>Loss</v>
      </c>
      <c r="O295" s="2">
        <v>-0.34949595310016701</v>
      </c>
    </row>
    <row r="296" spans="1:15" x14ac:dyDescent="0.25">
      <c r="A296" s="1">
        <v>45747</v>
      </c>
      <c r="B296" t="s">
        <v>14</v>
      </c>
      <c r="C296" t="s">
        <v>9</v>
      </c>
      <c r="D296" t="s">
        <v>35</v>
      </c>
      <c r="E296" t="s">
        <v>11</v>
      </c>
      <c r="F296">
        <v>14556</v>
      </c>
      <c r="G296">
        <v>540</v>
      </c>
      <c r="H296">
        <v>653</v>
      </c>
      <c r="I296">
        <v>1405</v>
      </c>
      <c r="J296" t="str">
        <f>IF(Sales_Data[[#This Row],[Forex Rate]]&lt;900,"Below 900",IF(Sales_Data[[#This Row],[Forex Rate]]&lt;1100,"900–1099",IF(Sales_Data[[#This Row],[Forex Rate]]&lt;1300,"1100–1299","1300+")))</f>
        <v>1300+</v>
      </c>
      <c r="K296">
        <v>354850</v>
      </c>
      <c r="L296">
        <v>9505068</v>
      </c>
      <c r="M296">
        <v>1289978</v>
      </c>
      <c r="N296" t="str">
        <f>IF(Sales_Data[[#This Row],[Profit]]&lt;0,"Loss","Profit")</f>
        <v>Profit</v>
      </c>
      <c r="O296" s="2">
        <v>0.135714757642975</v>
      </c>
    </row>
    <row r="297" spans="1:15" x14ac:dyDescent="0.25">
      <c r="A297" s="1">
        <v>45736</v>
      </c>
      <c r="B297" t="s">
        <v>14</v>
      </c>
      <c r="C297" t="s">
        <v>9</v>
      </c>
      <c r="D297" t="s">
        <v>35</v>
      </c>
      <c r="E297" t="s">
        <v>11</v>
      </c>
      <c r="F297">
        <v>6490</v>
      </c>
      <c r="G297">
        <v>483</v>
      </c>
      <c r="H297">
        <v>788</v>
      </c>
      <c r="I297">
        <v>1405</v>
      </c>
      <c r="J297" t="str">
        <f>IF(Sales_Data[[#This Row],[Forex Rate]]&lt;900,"Below 900",IF(Sales_Data[[#This Row],[Forex Rate]]&lt;1100,"900–1099",IF(Sales_Data[[#This Row],[Forex Rate]]&lt;1300,"1100–1299","1300+")))</f>
        <v>1300+</v>
      </c>
      <c r="K297">
        <v>932697</v>
      </c>
      <c r="L297">
        <v>5114120</v>
      </c>
      <c r="M297">
        <v>1046753</v>
      </c>
      <c r="N297" t="str">
        <f>IF(Sales_Data[[#This Row],[Profit]]&lt;0,"Loss","Profit")</f>
        <v>Profit</v>
      </c>
      <c r="O297" s="2">
        <v>0.20467900635886499</v>
      </c>
    </row>
    <row r="298" spans="1:15" x14ac:dyDescent="0.25">
      <c r="A298" s="1">
        <v>45723</v>
      </c>
      <c r="B298" t="s">
        <v>14</v>
      </c>
      <c r="C298" t="s">
        <v>6</v>
      </c>
      <c r="D298" t="s">
        <v>36</v>
      </c>
      <c r="E298" t="s">
        <v>8</v>
      </c>
      <c r="F298">
        <v>8939</v>
      </c>
      <c r="G298">
        <v>657</v>
      </c>
      <c r="H298">
        <v>718</v>
      </c>
      <c r="I298">
        <v>1405</v>
      </c>
      <c r="J298" t="str">
        <f>IF(Sales_Data[[#This Row],[Forex Rate]]&lt;900,"Below 900",IF(Sales_Data[[#This Row],[Forex Rate]]&lt;1100,"900–1099",IF(Sales_Data[[#This Row],[Forex Rate]]&lt;1300,"1100–1299","1300+")))</f>
        <v>1300+</v>
      </c>
      <c r="K298">
        <v>577717</v>
      </c>
      <c r="L298">
        <v>6418202</v>
      </c>
      <c r="M298">
        <v>-32438</v>
      </c>
      <c r="N298" t="str">
        <f>IF(Sales_Data[[#This Row],[Profit]]&lt;0,"Loss","Profit")</f>
        <v>Loss</v>
      </c>
      <c r="O298" s="2">
        <v>-5.0540634277325596E-3</v>
      </c>
    </row>
    <row r="299" spans="1:15" x14ac:dyDescent="0.25">
      <c r="A299" s="1">
        <v>45717</v>
      </c>
      <c r="B299" t="s">
        <v>14</v>
      </c>
      <c r="C299" t="s">
        <v>9</v>
      </c>
      <c r="D299" t="s">
        <v>35</v>
      </c>
      <c r="E299" t="s">
        <v>7</v>
      </c>
      <c r="F299">
        <v>11527</v>
      </c>
      <c r="G299">
        <v>565</v>
      </c>
      <c r="H299">
        <v>675</v>
      </c>
      <c r="I299">
        <v>1424</v>
      </c>
      <c r="J299" t="str">
        <f>IF(Sales_Data[[#This Row],[Forex Rate]]&lt;900,"Below 900",IF(Sales_Data[[#This Row],[Forex Rate]]&lt;1100,"900–1099",IF(Sales_Data[[#This Row],[Forex Rate]]&lt;1300,"1100–1299","1300+")))</f>
        <v>1300+</v>
      </c>
      <c r="K299">
        <v>649484</v>
      </c>
      <c r="L299">
        <v>7780725</v>
      </c>
      <c r="M299">
        <v>618486</v>
      </c>
      <c r="N299" t="str">
        <f>IF(Sales_Data[[#This Row],[Profit]]&lt;0,"Loss","Profit")</f>
        <v>Profit</v>
      </c>
      <c r="O299" s="2">
        <v>7.9489507725822403E-2</v>
      </c>
    </row>
    <row r="300" spans="1:15" x14ac:dyDescent="0.25">
      <c r="A300" s="1">
        <v>45758</v>
      </c>
      <c r="B300" t="s">
        <v>16</v>
      </c>
      <c r="C300" t="s">
        <v>6</v>
      </c>
      <c r="D300" t="s">
        <v>35</v>
      </c>
      <c r="E300" t="s">
        <v>7</v>
      </c>
      <c r="F300">
        <v>25354</v>
      </c>
      <c r="G300">
        <v>526</v>
      </c>
      <c r="H300">
        <v>890</v>
      </c>
      <c r="I300">
        <v>1450</v>
      </c>
      <c r="J300" t="str">
        <f>IF(Sales_Data[[#This Row],[Forex Rate]]&lt;900,"Below 900",IF(Sales_Data[[#This Row],[Forex Rate]]&lt;1100,"900–1099",IF(Sales_Data[[#This Row],[Forex Rate]]&lt;1300,"1100–1299","1300+")))</f>
        <v>1300+</v>
      </c>
      <c r="K300">
        <v>1133654</v>
      </c>
      <c r="L300">
        <v>22565060</v>
      </c>
      <c r="M300">
        <v>8095202</v>
      </c>
      <c r="N300" t="str">
        <f>IF(Sales_Data[[#This Row],[Profit]]&lt;0,"Loss","Profit")</f>
        <v>Profit</v>
      </c>
      <c r="O300" s="2">
        <v>0.35874941170109897</v>
      </c>
    </row>
    <row r="301" spans="1:15" x14ac:dyDescent="0.25">
      <c r="A301" s="1">
        <v>45696</v>
      </c>
      <c r="B301" t="s">
        <v>15</v>
      </c>
      <c r="C301" t="s">
        <v>3</v>
      </c>
      <c r="D301" t="s">
        <v>35</v>
      </c>
      <c r="E301" t="s">
        <v>11</v>
      </c>
      <c r="F301">
        <v>30745</v>
      </c>
      <c r="G301">
        <v>550</v>
      </c>
      <c r="H301">
        <v>637</v>
      </c>
      <c r="I301">
        <v>1429</v>
      </c>
      <c r="J301" t="str">
        <f>IF(Sales_Data[[#This Row],[Forex Rate]]&lt;900,"Below 900",IF(Sales_Data[[#This Row],[Forex Rate]]&lt;1100,"900–1099",IF(Sales_Data[[#This Row],[Forex Rate]]&lt;1300,"1100–1299","1300+")))</f>
        <v>1300+</v>
      </c>
      <c r="K301">
        <v>642323</v>
      </c>
      <c r="L301">
        <v>19584565</v>
      </c>
      <c r="M301">
        <v>2032492</v>
      </c>
      <c r="N301" t="str">
        <f>IF(Sales_Data[[#This Row],[Profit]]&lt;0,"Loss","Profit")</f>
        <v>Profit</v>
      </c>
      <c r="O301" s="2">
        <v>0.103780298413572</v>
      </c>
    </row>
    <row r="302" spans="1:15" x14ac:dyDescent="0.25">
      <c r="A302" s="1">
        <v>45710</v>
      </c>
      <c r="B302" t="s">
        <v>15</v>
      </c>
      <c r="C302" t="s">
        <v>6</v>
      </c>
      <c r="D302" t="s">
        <v>35</v>
      </c>
      <c r="E302" t="s">
        <v>11</v>
      </c>
      <c r="F302">
        <v>21373</v>
      </c>
      <c r="G302">
        <v>679</v>
      </c>
      <c r="H302">
        <v>765</v>
      </c>
      <c r="I302">
        <v>1372</v>
      </c>
      <c r="J302" t="str">
        <f>IF(Sales_Data[[#This Row],[Forex Rate]]&lt;900,"Below 900",IF(Sales_Data[[#This Row],[Forex Rate]]&lt;1100,"900–1099",IF(Sales_Data[[#This Row],[Forex Rate]]&lt;1300,"1100–1299","1300+")))</f>
        <v>1300+</v>
      </c>
      <c r="K302">
        <v>642323</v>
      </c>
      <c r="L302">
        <v>16350345</v>
      </c>
      <c r="M302">
        <v>1195755</v>
      </c>
      <c r="N302" t="str">
        <f>IF(Sales_Data[[#This Row],[Profit]]&lt;0,"Loss","Profit")</f>
        <v>Profit</v>
      </c>
      <c r="O302" s="2">
        <v>7.3133319205191102E-2</v>
      </c>
    </row>
    <row r="303" spans="1:15" x14ac:dyDescent="0.25">
      <c r="A303" s="1">
        <v>45800</v>
      </c>
      <c r="B303" t="s">
        <v>17</v>
      </c>
      <c r="C303" t="s">
        <v>9</v>
      </c>
      <c r="D303" t="s">
        <v>35</v>
      </c>
      <c r="E303" t="s">
        <v>11</v>
      </c>
      <c r="F303">
        <v>17067</v>
      </c>
      <c r="G303">
        <v>650</v>
      </c>
      <c r="H303">
        <v>587</v>
      </c>
      <c r="I303">
        <v>1261</v>
      </c>
      <c r="J303" t="str">
        <f>IF(Sales_Data[[#This Row],[Forex Rate]]&lt;900,"Below 900",IF(Sales_Data[[#This Row],[Forex Rate]]&lt;1100,"900–1099",IF(Sales_Data[[#This Row],[Forex Rate]]&lt;1300,"1100–1299","1300+")))</f>
        <v>1100–1299</v>
      </c>
      <c r="K303">
        <v>642323</v>
      </c>
      <c r="L303">
        <v>10018329</v>
      </c>
      <c r="M303">
        <v>-1717544</v>
      </c>
      <c r="N303" t="str">
        <f>IF(Sales_Data[[#This Row],[Profit]]&lt;0,"Loss","Profit")</f>
        <v>Loss</v>
      </c>
      <c r="O303" s="2">
        <v>-0.171440167317324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E292B-7E84-4520-A9B3-E2421B9AFC8A}">
  <dimension ref="A1:AK10"/>
  <sheetViews>
    <sheetView topLeftCell="A10" zoomScaleNormal="100" workbookViewId="0">
      <selection activeCell="F1" sqref="F1"/>
    </sheetView>
  </sheetViews>
  <sheetFormatPr defaultRowHeight="15" x14ac:dyDescent="0.25"/>
  <cols>
    <col min="1" max="1" width="13.140625" bestFit="1" customWidth="1"/>
    <col min="2" max="2" width="14.28515625" bestFit="1" customWidth="1"/>
    <col min="3" max="3" width="15.85546875" bestFit="1" customWidth="1"/>
    <col min="4" max="4" width="25.140625" bestFit="1" customWidth="1"/>
    <col min="7" max="7" width="13.140625" bestFit="1" customWidth="1"/>
    <col min="8" max="8" width="15.85546875" bestFit="1" customWidth="1"/>
    <col min="9" max="9" width="14.28515625" bestFit="1" customWidth="1"/>
    <col min="12" max="12" width="13.140625" bestFit="1" customWidth="1"/>
    <col min="13" max="13" width="14.28515625" bestFit="1" customWidth="1"/>
    <col min="14" max="15" width="25.140625" bestFit="1" customWidth="1"/>
    <col min="18" max="18" width="13.140625" bestFit="1" customWidth="1"/>
    <col min="19" max="19" width="14.28515625" bestFit="1" customWidth="1"/>
    <col min="20" max="20" width="21.7109375" bestFit="1" customWidth="1"/>
    <col min="23" max="23" width="13.140625" bestFit="1" customWidth="1"/>
    <col min="24" max="24" width="14.28515625" bestFit="1" customWidth="1"/>
    <col min="25" max="25" width="25.140625" bestFit="1" customWidth="1"/>
    <col min="29" max="29" width="13.140625" bestFit="1" customWidth="1"/>
    <col min="30" max="30" width="20.140625" bestFit="1" customWidth="1"/>
    <col min="33" max="33" width="20.42578125" customWidth="1"/>
    <col min="34" max="34" width="19.42578125" customWidth="1"/>
    <col min="35" max="35" width="21.7109375" customWidth="1"/>
    <col min="36" max="36" width="11.85546875" customWidth="1"/>
    <col min="37" max="37" width="27.7109375" customWidth="1"/>
  </cols>
  <sheetData>
    <row r="1" spans="1:37" s="7" customFormat="1" ht="26.25" x14ac:dyDescent="0.4">
      <c r="A1" s="7" t="s">
        <v>47</v>
      </c>
      <c r="G1" s="7" t="s">
        <v>48</v>
      </c>
      <c r="L1" s="7" t="s">
        <v>49</v>
      </c>
      <c r="R1" s="7" t="s">
        <v>50</v>
      </c>
      <c r="W1" s="7" t="s">
        <v>55</v>
      </c>
      <c r="AC1" s="7" t="s">
        <v>59</v>
      </c>
    </row>
    <row r="3" spans="1:37" x14ac:dyDescent="0.25">
      <c r="A3" s="3" t="s">
        <v>37</v>
      </c>
      <c r="B3" t="s">
        <v>40</v>
      </c>
      <c r="C3" t="s">
        <v>39</v>
      </c>
      <c r="D3" t="s">
        <v>41</v>
      </c>
      <c r="G3" s="3" t="s">
        <v>37</v>
      </c>
      <c r="H3" t="s">
        <v>39</v>
      </c>
      <c r="I3" t="s">
        <v>40</v>
      </c>
      <c r="L3" s="3" t="s">
        <v>37</v>
      </c>
      <c r="M3" t="s">
        <v>40</v>
      </c>
      <c r="R3" s="3" t="s">
        <v>37</v>
      </c>
      <c r="S3" t="s">
        <v>40</v>
      </c>
      <c r="W3" s="3" t="s">
        <v>37</v>
      </c>
      <c r="X3" t="s">
        <v>40</v>
      </c>
      <c r="Y3" t="s">
        <v>41</v>
      </c>
      <c r="AC3" s="3" t="s">
        <v>37</v>
      </c>
      <c r="AD3" t="s">
        <v>58</v>
      </c>
      <c r="AG3" t="s">
        <v>60</v>
      </c>
      <c r="AH3" t="s">
        <v>61</v>
      </c>
      <c r="AI3" t="s">
        <v>63</v>
      </c>
      <c r="AJ3" t="s">
        <v>64</v>
      </c>
      <c r="AK3" t="s">
        <v>62</v>
      </c>
    </row>
    <row r="4" spans="1:37" x14ac:dyDescent="0.25">
      <c r="A4" s="4" t="s">
        <v>6</v>
      </c>
      <c r="B4" s="5">
        <v>119275926</v>
      </c>
      <c r="C4" s="5">
        <v>1582847896</v>
      </c>
      <c r="D4" s="6">
        <v>4.5654043022338976E-2</v>
      </c>
      <c r="G4" s="4" t="s">
        <v>35</v>
      </c>
      <c r="H4" s="5">
        <v>1748512762</v>
      </c>
      <c r="I4" s="5">
        <v>173275742</v>
      </c>
      <c r="L4" s="4" t="s">
        <v>4</v>
      </c>
      <c r="M4" s="5">
        <v>43928693</v>
      </c>
      <c r="R4" s="4" t="s">
        <v>42</v>
      </c>
      <c r="S4" s="5">
        <v>20373686</v>
      </c>
      <c r="W4" s="4" t="s">
        <v>53</v>
      </c>
      <c r="X4" s="5">
        <v>41768043</v>
      </c>
      <c r="Y4" s="6">
        <v>2.5682795821365356E-2</v>
      </c>
      <c r="AC4" s="4" t="s">
        <v>57</v>
      </c>
      <c r="AD4">
        <v>81</v>
      </c>
      <c r="AG4" s="5">
        <f>VALUE(GETPIVOTDATA("Revenue",'Pivot Tables'!A3))</f>
        <v>4686197648</v>
      </c>
      <c r="AH4" s="5">
        <f>VALUE(GETPIVOTDATA("Profit",'Pivot Tables'!A3))</f>
        <v>388584892</v>
      </c>
      <c r="AI4" s="2">
        <f>GETPIVOTDATA("Profit Margin %", 'Pivot Tables'!A3)</f>
        <v>5.8668150612194478E-2</v>
      </c>
      <c r="AJ4" s="6">
        <f>GETPIVOTDATA("Profit Status",$AC$3,"Profit Status","Loss")/GETPIVOTDATA("Profit Status",$AC$3)</f>
        <v>0.27</v>
      </c>
      <c r="AK4" s="6">
        <f>GETPIVOTDATA("Sum of Profit",$W$3,"Forex Band","1300+")/GETPIVOTDATA("Sum of Profit",$W$3)</f>
        <v>0.89251243715362971</v>
      </c>
    </row>
    <row r="5" spans="1:37" x14ac:dyDescent="0.25">
      <c r="A5" s="4" t="s">
        <v>3</v>
      </c>
      <c r="B5" s="5">
        <v>128923844</v>
      </c>
      <c r="C5" s="5">
        <v>1573464747</v>
      </c>
      <c r="D5" s="6">
        <v>6.1739157474542734E-2</v>
      </c>
      <c r="G5" s="4" t="s">
        <v>36</v>
      </c>
      <c r="H5" s="5">
        <v>1563900170</v>
      </c>
      <c r="I5" s="5">
        <v>118306441</v>
      </c>
      <c r="L5" s="4" t="s">
        <v>7</v>
      </c>
      <c r="M5" s="5">
        <v>108182825</v>
      </c>
      <c r="R5" s="4" t="s">
        <v>43</v>
      </c>
      <c r="S5" s="5">
        <v>86212681</v>
      </c>
      <c r="W5" s="4" t="s">
        <v>54</v>
      </c>
      <c r="X5" s="5">
        <v>346816849</v>
      </c>
      <c r="Y5" s="6">
        <v>6.4641876282974589E-2</v>
      </c>
      <c r="AC5" s="4" t="s">
        <v>32</v>
      </c>
      <c r="AD5">
        <v>219</v>
      </c>
    </row>
    <row r="6" spans="1:37" x14ac:dyDescent="0.25">
      <c r="A6" s="4" t="s">
        <v>9</v>
      </c>
      <c r="B6" s="5">
        <v>140385122</v>
      </c>
      <c r="C6" s="5">
        <v>1529885005</v>
      </c>
      <c r="D6" s="6">
        <v>6.9735354961802429E-2</v>
      </c>
      <c r="G6" s="4" t="s">
        <v>34</v>
      </c>
      <c r="H6" s="5">
        <v>1373784716</v>
      </c>
      <c r="I6" s="5">
        <v>97002709</v>
      </c>
      <c r="L6" s="4" t="s">
        <v>5</v>
      </c>
      <c r="M6" s="5">
        <v>53074016</v>
      </c>
      <c r="R6" s="4" t="s">
        <v>44</v>
      </c>
      <c r="S6" s="5">
        <v>72475123</v>
      </c>
      <c r="W6" s="4" t="s">
        <v>38</v>
      </c>
      <c r="X6" s="5">
        <v>388584892</v>
      </c>
      <c r="Y6" s="6">
        <v>5.8668150612194478E-2</v>
      </c>
      <c r="AC6" s="4" t="s">
        <v>38</v>
      </c>
      <c r="AD6">
        <v>300</v>
      </c>
    </row>
    <row r="7" spans="1:37" x14ac:dyDescent="0.25">
      <c r="A7" s="4" t="s">
        <v>38</v>
      </c>
      <c r="B7" s="5">
        <v>388584892</v>
      </c>
      <c r="C7" s="5">
        <v>4686197648</v>
      </c>
      <c r="D7" s="6">
        <v>5.8668150612194478E-2</v>
      </c>
      <c r="G7" s="4" t="s">
        <v>38</v>
      </c>
      <c r="H7" s="5">
        <v>4686197648</v>
      </c>
      <c r="I7" s="5">
        <v>388584892</v>
      </c>
      <c r="L7" s="4" t="s">
        <v>10</v>
      </c>
      <c r="M7" s="5">
        <v>66796895</v>
      </c>
      <c r="R7" s="4" t="s">
        <v>45</v>
      </c>
      <c r="S7" s="5">
        <v>99203907</v>
      </c>
    </row>
    <row r="8" spans="1:37" x14ac:dyDescent="0.25">
      <c r="L8" s="4" t="s">
        <v>8</v>
      </c>
      <c r="M8" s="5">
        <v>51509546</v>
      </c>
      <c r="R8" s="4" t="s">
        <v>17</v>
      </c>
      <c r="S8" s="5">
        <v>49408446</v>
      </c>
    </row>
    <row r="9" spans="1:37" x14ac:dyDescent="0.25">
      <c r="L9" s="4" t="s">
        <v>11</v>
      </c>
      <c r="M9" s="5">
        <v>65092917</v>
      </c>
      <c r="R9" s="4" t="s">
        <v>46</v>
      </c>
      <c r="S9" s="5">
        <v>60911049</v>
      </c>
    </row>
    <row r="10" spans="1:37" x14ac:dyDescent="0.25">
      <c r="L10" s="4" t="s">
        <v>38</v>
      </c>
      <c r="M10" s="5">
        <v>388584892</v>
      </c>
      <c r="R10" s="4" t="s">
        <v>38</v>
      </c>
      <c r="S10" s="5">
        <v>388584892</v>
      </c>
    </row>
  </sheetData>
  <pageMargins left="0.7" right="0.7" top="0.75" bottom="0.75" header="0.3" footer="0.3"/>
  <pageSetup orientation="portrait"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98662-C9D6-4E08-BEAE-AF7993D7AB10}">
  <dimension ref="A1:B3"/>
  <sheetViews>
    <sheetView topLeftCell="A4" workbookViewId="0">
      <selection activeCell="B1" sqref="B1"/>
    </sheetView>
  </sheetViews>
  <sheetFormatPr defaultRowHeight="15" x14ac:dyDescent="0.25"/>
  <cols>
    <col min="1" max="1" width="20.28515625" customWidth="1"/>
    <col min="2" max="2" width="19.85546875" customWidth="1"/>
    <col min="3" max="3" width="20.28515625" customWidth="1"/>
  </cols>
  <sheetData>
    <row r="1" spans="1:2" x14ac:dyDescent="0.25">
      <c r="A1" t="s">
        <v>60</v>
      </c>
      <c r="B1" s="5">
        <f>GETPIVOTDATA("Sum of Revenue",'Pivot Tables'!$A$3)</f>
        <v>4686197648</v>
      </c>
    </row>
    <row r="2" spans="1:2" x14ac:dyDescent="0.25">
      <c r="A2" t="s">
        <v>61</v>
      </c>
      <c r="B2" s="5">
        <f>GETPIVOTDATA("Sum of Profit",'Pivot Tables'!$A$3)</f>
        <v>388584892</v>
      </c>
    </row>
    <row r="3" spans="1:2" x14ac:dyDescent="0.25">
      <c r="A3" t="s">
        <v>65</v>
      </c>
      <c r="B3" s="6">
        <f xml:space="preserve"> B2 / B1</f>
        <v>8.2921148698421265E-2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531E-8E39-4656-BA0F-35EDBD838CBB}">
  <dimension ref="A1:T58"/>
  <sheetViews>
    <sheetView showGridLines="0" zoomScale="91" zoomScaleNormal="91" workbookViewId="0">
      <selection activeCell="Q23" sqref="Q23"/>
    </sheetView>
  </sheetViews>
  <sheetFormatPr defaultColWidth="0" defaultRowHeight="15" zeroHeight="1" x14ac:dyDescent="0.25"/>
  <cols>
    <col min="1" max="1" width="36.42578125" style="11" customWidth="1"/>
    <col min="2" max="18" width="9.140625" style="10" customWidth="1"/>
    <col min="19" max="20" width="0" style="10" hidden="1" customWidth="1"/>
    <col min="21" max="16384" width="9.140625"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4F0E9D-5DF5-4310-8214-89B3823A2C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Average Logistics</vt:lpstr>
      <vt:lpstr>Forex Rate</vt:lpstr>
      <vt:lpstr>Average Selling Price</vt:lpstr>
      <vt:lpstr>Average Cost price</vt:lpstr>
      <vt:lpstr>Average Volume</vt:lpstr>
      <vt:lpstr>Cleaned Data</vt:lpstr>
      <vt:lpstr>Pivot Tables</vt:lpstr>
      <vt:lpstr>Helper Calculation</vt:lpstr>
      <vt:lpstr>Sales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Torneukari Eyitweremi</cp:lastModifiedBy>
  <dcterms:created xsi:type="dcterms:W3CDTF">2025-12-16T07:44:00Z</dcterms:created>
  <dcterms:modified xsi:type="dcterms:W3CDTF">2025-12-19T06:38:53Z</dcterms:modified>
</cp:coreProperties>
</file>